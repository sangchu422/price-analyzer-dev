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hwiakr.sharepoint.com/sites/o365m_50008894/Shared Documents/General/3. 프로젝트구매/4. 신사업 추진/3. 전동화/#2. 감속기/2025/[ES-I25-001] 현대트랜시스 멕시코 TMED-II 모터 후처리라인 25만→40만 증설 PJT_이봉원 매니저/품의/함침라인_화인/"/>
    </mc:Choice>
  </mc:AlternateContent>
  <xr:revisionPtr revIDLastSave="0" documentId="13_ncr:1_{CC909036-7786-4BB3-8655-644B9A190DE1}" xr6:coauthVersionLast="47" xr6:coauthVersionMax="47" xr10:uidLastSave="{00000000-0000-0000-0000-000000000000}"/>
  <bookViews>
    <workbookView xWindow="57480" yWindow="-120" windowWidth="29040" windowHeight="15840" tabRatio="981" activeTab="4" xr2:uid="{00000000-000D-0000-FFFF-FFFF00000000}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단위장비3" sheetId="7" r:id="rId5"/>
    <sheet name="단위장비4" sheetId="8" r:id="rId6"/>
    <sheet name="단위장비5" sheetId="9" r:id="rId7"/>
    <sheet name="단위장비6" sheetId="10" r:id="rId8"/>
    <sheet name="단위장비7" sheetId="11" r:id="rId9"/>
    <sheet name="단위장비10" sheetId="14" r:id="rId10"/>
    <sheet name="단위장비9" sheetId="13" r:id="rId11"/>
    <sheet name="단위장비11" sheetId="16" r:id="rId12"/>
    <sheet name="단위장비16" sheetId="21" r:id="rId13"/>
    <sheet name="단위장비1" sheetId="5" r:id="rId14"/>
    <sheet name="단위장비2" sheetId="6" r:id="rId15"/>
    <sheet name="단위장비8" sheetId="12" r:id="rId16"/>
    <sheet name="단위장비12" sheetId="17" r:id="rId17"/>
    <sheet name="단위장비13" sheetId="18" r:id="rId18"/>
    <sheet name="단위장비14" sheetId="19" r:id="rId19"/>
    <sheet name="단위장비15" sheetId="20" r:id="rId20"/>
    <sheet name="첨부(견적조건차이내역)" sheetId="15" r:id="rId21"/>
  </sheets>
  <definedNames>
    <definedName name="_xlnm._FilterDatabase" localSheetId="13" hidden="1">단위장비1!$A$2:$I$73</definedName>
    <definedName name="_xlnm._FilterDatabase" localSheetId="11" hidden="1">단위장비11!$J$2:$J$67</definedName>
    <definedName name="_xlnm._FilterDatabase" localSheetId="16" hidden="1">단위장비12!$J$2:$J$66</definedName>
    <definedName name="_xlnm._FilterDatabase" localSheetId="17" hidden="1">단위장비13!$J$2:$J$59</definedName>
    <definedName name="_xlnm._FilterDatabase" localSheetId="18" hidden="1">단위장비14!$J$2:$J$63</definedName>
    <definedName name="_xlnm._FilterDatabase" localSheetId="19" hidden="1">단위장비15!$J$2:$J$48</definedName>
    <definedName name="_xlnm._FilterDatabase" localSheetId="12" hidden="1">단위장비16!$J$2:$J$49</definedName>
    <definedName name="_xlnm._FilterDatabase" localSheetId="14" hidden="1">단위장비2!$A$2:$I$63</definedName>
    <definedName name="_xlnm._FilterDatabase" localSheetId="4" hidden="1">단위장비3!$J$2:$J$64</definedName>
    <definedName name="_xlnm._FilterDatabase" localSheetId="5" hidden="1">단위장비4!$J$2:$J$75</definedName>
    <definedName name="_xlnm._FilterDatabase" localSheetId="6" hidden="1">단위장비5!$J$2:$J$68</definedName>
    <definedName name="_xlnm._FilterDatabase" localSheetId="7" hidden="1">단위장비6!$J$2:$J$63</definedName>
    <definedName name="_xlnm._FilterDatabase" localSheetId="8" hidden="1">단위장비7!$J$2:$J$54</definedName>
    <definedName name="_xlnm._FilterDatabase" localSheetId="15" hidden="1">단위장비8!$J$2:$J$65</definedName>
    <definedName name="_xlnm._FilterDatabase" localSheetId="3" hidden="1">전기!$A$2:$I$63</definedName>
    <definedName name="_xlnm.Print_Area" localSheetId="0">갑지!$B:$I</definedName>
    <definedName name="_xlnm.Print_Area" localSheetId="2">'단위공사별(집계)'!$A$1:$O$26</definedName>
    <definedName name="_xlnm.Print_Area" localSheetId="1">'원가항목별(집계)'!$A$1:$J$46</definedName>
    <definedName name="_xlnm.Print_Area" localSheetId="3">전기!$A:$I</definedName>
    <definedName name="_xlnm.Print_Area" localSheetId="20">'첨부(견적조건차이내역)'!$A$1:$D$36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4" l="1"/>
  <c r="H24" i="11"/>
  <c r="H25" i="11"/>
  <c r="H26" i="11"/>
  <c r="H27" i="11"/>
  <c r="H28" i="11"/>
  <c r="H29" i="11"/>
  <c r="H30" i="11"/>
  <c r="H31" i="10"/>
  <c r="H32" i="10"/>
  <c r="H33" i="10"/>
  <c r="H34" i="10"/>
  <c r="H35" i="10"/>
  <c r="H36" i="10"/>
  <c r="H37" i="10"/>
  <c r="H38" i="10"/>
  <c r="H11" i="19"/>
  <c r="H43" i="19"/>
  <c r="H44" i="19"/>
  <c r="H40" i="18"/>
  <c r="H41" i="18"/>
  <c r="H21" i="18"/>
  <c r="H22" i="18"/>
  <c r="H23" i="18"/>
  <c r="H24" i="18"/>
  <c r="H25" i="18"/>
  <c r="H26" i="18"/>
  <c r="H27" i="18"/>
  <c r="H22" i="17"/>
  <c r="H23" i="17"/>
  <c r="H24" i="17"/>
  <c r="H25" i="17"/>
  <c r="H26" i="17"/>
  <c r="H27" i="17"/>
  <c r="H28" i="17"/>
  <c r="H42" i="6"/>
  <c r="H36" i="6"/>
  <c r="H37" i="6"/>
  <c r="H38" i="6"/>
  <c r="H39" i="6"/>
  <c r="H40" i="6"/>
  <c r="H42" i="5"/>
  <c r="H43" i="5"/>
  <c r="H44" i="5"/>
  <c r="H45" i="5"/>
  <c r="H46" i="5"/>
  <c r="H47" i="5"/>
  <c r="H48" i="5"/>
  <c r="H49" i="5"/>
  <c r="H18" i="5"/>
  <c r="H36" i="8"/>
  <c r="H35" i="8"/>
  <c r="H34" i="8"/>
  <c r="H33" i="8"/>
  <c r="H32" i="8"/>
  <c r="H31" i="8"/>
  <c r="H30" i="8"/>
  <c r="H29" i="8"/>
  <c r="H28" i="8"/>
  <c r="H27" i="8"/>
  <c r="H34" i="9"/>
  <c r="H33" i="9"/>
  <c r="H32" i="9"/>
  <c r="H31" i="9"/>
  <c r="H30" i="9"/>
  <c r="H29" i="9"/>
  <c r="H28" i="9"/>
  <c r="H27" i="9"/>
  <c r="H26" i="9"/>
  <c r="H25" i="9"/>
  <c r="H42" i="10"/>
  <c r="H30" i="10"/>
  <c r="H29" i="10"/>
  <c r="H28" i="10"/>
  <c r="H27" i="10"/>
  <c r="H3" i="10"/>
  <c r="H4" i="10"/>
  <c r="H5" i="10"/>
  <c r="H6" i="10"/>
  <c r="H7" i="10"/>
  <c r="H8" i="10"/>
  <c r="H9" i="10"/>
  <c r="H29" i="13"/>
  <c r="H28" i="13"/>
  <c r="H27" i="13"/>
  <c r="H26" i="13"/>
  <c r="H25" i="13"/>
  <c r="H24" i="13"/>
  <c r="H23" i="13"/>
  <c r="H6" i="13"/>
  <c r="H31" i="14"/>
  <c r="H30" i="14"/>
  <c r="H29" i="14"/>
  <c r="H28" i="14"/>
  <c r="H27" i="14"/>
  <c r="H26" i="14"/>
  <c r="H25" i="14"/>
  <c r="H24" i="14"/>
  <c r="H23" i="14"/>
  <c r="H22" i="14"/>
  <c r="H32" i="14"/>
  <c r="H6" i="14"/>
  <c r="H32" i="16"/>
  <c r="H31" i="16"/>
  <c r="H30" i="16"/>
  <c r="H29" i="16"/>
  <c r="H28" i="16"/>
  <c r="H27" i="16"/>
  <c r="H26" i="16"/>
  <c r="H25" i="16"/>
  <c r="H24" i="16"/>
  <c r="H23" i="16"/>
  <c r="H28" i="19" l="1"/>
  <c r="H27" i="19"/>
  <c r="H35" i="19"/>
  <c r="H36" i="19"/>
  <c r="H37" i="19"/>
  <c r="H38" i="19"/>
  <c r="H43" i="21"/>
  <c r="F28" i="21"/>
  <c r="P22" i="3"/>
  <c r="H41" i="21"/>
  <c r="H31" i="21"/>
  <c r="H32" i="21"/>
  <c r="H6" i="4" l="1"/>
  <c r="H7" i="4"/>
  <c r="H43" i="4"/>
  <c r="H41" i="4"/>
  <c r="H23" i="11" l="1"/>
  <c r="H22" i="11"/>
  <c r="H21" i="11"/>
  <c r="H20" i="11"/>
  <c r="H19" i="11"/>
  <c r="H18" i="11"/>
  <c r="H6" i="8" l="1"/>
  <c r="H41" i="8"/>
  <c r="G12" i="2"/>
  <c r="C33" i="1"/>
  <c r="G18" i="2"/>
  <c r="G16" i="2"/>
  <c r="G7" i="2"/>
  <c r="G15" i="2"/>
  <c r="G14" i="2"/>
  <c r="G13" i="2"/>
  <c r="B22" i="3"/>
  <c r="H40" i="14"/>
  <c r="H39" i="14"/>
  <c r="H34" i="7"/>
  <c r="H6" i="17"/>
  <c r="H7" i="17"/>
  <c r="H5" i="17"/>
  <c r="H8" i="17"/>
  <c r="H10" i="5"/>
  <c r="H9" i="5"/>
  <c r="H35" i="7"/>
  <c r="H12" i="7"/>
  <c r="H11" i="7"/>
  <c r="H5" i="19"/>
  <c r="H6" i="19"/>
  <c r="H7" i="19"/>
  <c r="H8" i="19"/>
  <c r="H9" i="19"/>
  <c r="H10" i="19"/>
  <c r="H44" i="21"/>
  <c r="H42" i="21"/>
  <c r="H40" i="21"/>
  <c r="H39" i="21"/>
  <c r="H38" i="21"/>
  <c r="H37" i="21"/>
  <c r="H36" i="21"/>
  <c r="H33" i="21"/>
  <c r="H30" i="21"/>
  <c r="H29" i="21"/>
  <c r="H28" i="21"/>
  <c r="H27" i="21"/>
  <c r="H25" i="21"/>
  <c r="H24" i="21"/>
  <c r="H23" i="21"/>
  <c r="H22" i="21"/>
  <c r="H21" i="21"/>
  <c r="H20" i="21"/>
  <c r="H19" i="21"/>
  <c r="H18" i="21"/>
  <c r="H17" i="21"/>
  <c r="H15" i="21"/>
  <c r="H14" i="21"/>
  <c r="H13" i="21"/>
  <c r="H12" i="21"/>
  <c r="H11" i="21"/>
  <c r="H9" i="21"/>
  <c r="H8" i="21"/>
  <c r="H7" i="21"/>
  <c r="H6" i="21"/>
  <c r="H5" i="21"/>
  <c r="H4" i="21"/>
  <c r="H3" i="21"/>
  <c r="H4" i="19"/>
  <c r="H39" i="16"/>
  <c r="H6" i="7"/>
  <c r="H5" i="7"/>
  <c r="H7" i="7"/>
  <c r="H34" i="21" l="1"/>
  <c r="H45" i="21"/>
  <c r="H16" i="21"/>
  <c r="H26" i="21"/>
  <c r="H10" i="21"/>
  <c r="H29" i="7"/>
  <c r="H33" i="5"/>
  <c r="H5" i="18"/>
  <c r="H42" i="14"/>
  <c r="H43" i="8"/>
  <c r="H39" i="7"/>
  <c r="H34" i="19"/>
  <c r="H7" i="16"/>
  <c r="H6" i="16"/>
  <c r="H3" i="19"/>
  <c r="H32" i="19"/>
  <c r="H31" i="19"/>
  <c r="H30" i="19"/>
  <c r="H29" i="19"/>
  <c r="H26" i="19"/>
  <c r="H25" i="19"/>
  <c r="H24" i="19"/>
  <c r="H29" i="18"/>
  <c r="H28" i="18"/>
  <c r="H4" i="18"/>
  <c r="H34" i="18"/>
  <c r="H33" i="18"/>
  <c r="H32" i="18"/>
  <c r="H31" i="18"/>
  <c r="H30" i="18"/>
  <c r="H3" i="18"/>
  <c r="H37" i="17"/>
  <c r="H35" i="17"/>
  <c r="H36" i="17"/>
  <c r="H30" i="17"/>
  <c r="H29" i="17"/>
  <c r="H32" i="17"/>
  <c r="H31" i="17"/>
  <c r="H9" i="16"/>
  <c r="H10" i="16"/>
  <c r="H38" i="16"/>
  <c r="H37" i="16"/>
  <c r="H36" i="16"/>
  <c r="H35" i="16"/>
  <c r="H34" i="16"/>
  <c r="H33" i="16"/>
  <c r="H4" i="16"/>
  <c r="H36" i="14"/>
  <c r="H33" i="14"/>
  <c r="H34" i="14"/>
  <c r="H9" i="14"/>
  <c r="H8" i="14"/>
  <c r="H41" i="14"/>
  <c r="H5" i="14"/>
  <c r="H7" i="14"/>
  <c r="H35" i="14"/>
  <c r="H3" i="14"/>
  <c r="H37" i="7"/>
  <c r="H33" i="13"/>
  <c r="H32" i="13"/>
  <c r="H9" i="13"/>
  <c r="H8" i="13"/>
  <c r="H38" i="13"/>
  <c r="H37" i="13"/>
  <c r="H4" i="13"/>
  <c r="H3" i="13"/>
  <c r="H31" i="13"/>
  <c r="H30" i="13"/>
  <c r="H3" i="11"/>
  <c r="H11" i="9"/>
  <c r="H36" i="9"/>
  <c r="H35" i="9"/>
  <c r="H12" i="9"/>
  <c r="H10" i="9"/>
  <c r="H9" i="9"/>
  <c r="H8" i="9"/>
  <c r="H7" i="9"/>
  <c r="H6" i="9"/>
  <c r="H5" i="9"/>
  <c r="H4" i="9"/>
  <c r="H3" i="9"/>
  <c r="H41" i="9"/>
  <c r="H39" i="9"/>
  <c r="H38" i="9"/>
  <c r="H37" i="9"/>
  <c r="H13" i="9"/>
  <c r="H46" i="8"/>
  <c r="H45" i="8"/>
  <c r="H44" i="8"/>
  <c r="H35" i="21" l="1"/>
  <c r="H13" i="7"/>
  <c r="H10" i="8"/>
  <c r="H9" i="8"/>
  <c r="H7" i="8"/>
  <c r="H8" i="8"/>
  <c r="H5" i="8"/>
  <c r="H38" i="8"/>
  <c r="H37" i="8"/>
  <c r="H42" i="8"/>
  <c r="H40" i="8"/>
  <c r="H39" i="8"/>
  <c r="H47" i="8"/>
  <c r="H48" i="8"/>
  <c r="H49" i="8"/>
  <c r="H50" i="8"/>
  <c r="H51" i="8"/>
  <c r="H52" i="8"/>
  <c r="H54" i="8"/>
  <c r="H38" i="7"/>
  <c r="H36" i="7"/>
  <c r="H33" i="7"/>
  <c r="H32" i="7"/>
  <c r="H31" i="7"/>
  <c r="H30" i="7"/>
  <c r="H28" i="7"/>
  <c r="H27" i="7"/>
  <c r="H26" i="7"/>
  <c r="H25" i="7"/>
  <c r="H24" i="7"/>
  <c r="H8" i="7"/>
  <c r="H9" i="7"/>
  <c r="H35" i="6"/>
  <c r="H34" i="6"/>
  <c r="H33" i="6"/>
  <c r="H32" i="6"/>
  <c r="H31" i="6"/>
  <c r="H30" i="6"/>
  <c r="H29" i="6"/>
  <c r="H28" i="6"/>
  <c r="H27" i="6"/>
  <c r="H26" i="6"/>
  <c r="H29" i="5"/>
  <c r="H4" i="6"/>
  <c r="H34" i="5"/>
  <c r="H53" i="8" l="1"/>
  <c r="C32" i="1"/>
  <c r="C31" i="1"/>
  <c r="C30" i="1"/>
  <c r="C29" i="1"/>
  <c r="C28" i="1"/>
  <c r="B21" i="3" l="1"/>
  <c r="B20" i="3"/>
  <c r="B19" i="3"/>
  <c r="B18" i="3"/>
  <c r="B17" i="3"/>
  <c r="H43" i="20"/>
  <c r="H42" i="20"/>
  <c r="H41" i="20"/>
  <c r="H40" i="20"/>
  <c r="H39" i="20"/>
  <c r="H38" i="20"/>
  <c r="H37" i="20"/>
  <c r="H36" i="20"/>
  <c r="E21" i="3" s="1"/>
  <c r="H33" i="20"/>
  <c r="H32" i="20"/>
  <c r="H31" i="20"/>
  <c r="H30" i="20"/>
  <c r="H29" i="20"/>
  <c r="H27" i="20"/>
  <c r="H26" i="20"/>
  <c r="H25" i="20"/>
  <c r="H24" i="20"/>
  <c r="H23" i="20"/>
  <c r="H22" i="20"/>
  <c r="H21" i="20"/>
  <c r="H20" i="20"/>
  <c r="H19" i="20"/>
  <c r="H17" i="20"/>
  <c r="H16" i="20"/>
  <c r="H15" i="20"/>
  <c r="H14" i="20"/>
  <c r="H13" i="20"/>
  <c r="H11" i="20"/>
  <c r="H10" i="20"/>
  <c r="H9" i="20"/>
  <c r="H8" i="20"/>
  <c r="H7" i="20"/>
  <c r="H6" i="20"/>
  <c r="H5" i="20"/>
  <c r="H4" i="20"/>
  <c r="H3" i="20"/>
  <c r="H6" i="18"/>
  <c r="H58" i="19"/>
  <c r="H57" i="19"/>
  <c r="H20" i="3" s="1"/>
  <c r="H56" i="19"/>
  <c r="H55" i="19"/>
  <c r="H54" i="19"/>
  <c r="H53" i="19"/>
  <c r="H52" i="19"/>
  <c r="H51" i="19"/>
  <c r="E20" i="3" s="1"/>
  <c r="H48" i="19"/>
  <c r="H47" i="19"/>
  <c r="H46" i="19"/>
  <c r="H45" i="19"/>
  <c r="H42" i="19"/>
  <c r="H40" i="19"/>
  <c r="H39" i="19"/>
  <c r="H33" i="19"/>
  <c r="H22" i="19"/>
  <c r="H21" i="19"/>
  <c r="H20" i="19"/>
  <c r="H19" i="19"/>
  <c r="H18" i="19"/>
  <c r="H16" i="19"/>
  <c r="H15" i="19"/>
  <c r="H14" i="19"/>
  <c r="H13" i="19"/>
  <c r="H12" i="19"/>
  <c r="H54" i="18"/>
  <c r="H53" i="18"/>
  <c r="H19" i="3" s="1"/>
  <c r="H52" i="18"/>
  <c r="H51" i="18"/>
  <c r="H50" i="18"/>
  <c r="H49" i="18"/>
  <c r="H48" i="18"/>
  <c r="H47" i="18"/>
  <c r="E19" i="3" s="1"/>
  <c r="H44" i="18"/>
  <c r="H43" i="18"/>
  <c r="H42" i="18"/>
  <c r="H39" i="18"/>
  <c r="H38" i="18"/>
  <c r="H36" i="18"/>
  <c r="H35" i="18"/>
  <c r="H19" i="18"/>
  <c r="H18" i="18"/>
  <c r="H17" i="18"/>
  <c r="H16" i="18"/>
  <c r="H15" i="18"/>
  <c r="H13" i="18"/>
  <c r="H12" i="18"/>
  <c r="H11" i="18"/>
  <c r="H10" i="18"/>
  <c r="H9" i="18"/>
  <c r="H8" i="18"/>
  <c r="H7" i="18"/>
  <c r="H5" i="16"/>
  <c r="H8" i="16"/>
  <c r="H61" i="17"/>
  <c r="H60" i="17"/>
  <c r="H59" i="17"/>
  <c r="H58" i="17"/>
  <c r="H57" i="17"/>
  <c r="H56" i="17"/>
  <c r="H55" i="17"/>
  <c r="H54" i="17"/>
  <c r="E18" i="3" s="1"/>
  <c r="H51" i="17"/>
  <c r="H50" i="17"/>
  <c r="H49" i="17"/>
  <c r="H46" i="17"/>
  <c r="H45" i="17"/>
  <c r="H43" i="17"/>
  <c r="H34" i="17"/>
  <c r="H33" i="17"/>
  <c r="H20" i="17"/>
  <c r="H19" i="17"/>
  <c r="H18" i="17"/>
  <c r="H17" i="17"/>
  <c r="H16" i="17"/>
  <c r="H14" i="17"/>
  <c r="H13" i="17"/>
  <c r="H12" i="17"/>
  <c r="H11" i="17"/>
  <c r="H10" i="17"/>
  <c r="H9" i="17"/>
  <c r="H4" i="17"/>
  <c r="H3" i="17"/>
  <c r="H3" i="16"/>
  <c r="H62" i="16"/>
  <c r="H61" i="16"/>
  <c r="H18" i="3" s="1"/>
  <c r="H60" i="16"/>
  <c r="H59" i="16"/>
  <c r="G17" i="3" s="1"/>
  <c r="H58" i="16"/>
  <c r="H57" i="16"/>
  <c r="H56" i="16"/>
  <c r="H55" i="16"/>
  <c r="E17" i="3" s="1"/>
  <c r="H52" i="16"/>
  <c r="H51" i="16"/>
  <c r="H50" i="16"/>
  <c r="H47" i="16"/>
  <c r="H46" i="16"/>
  <c r="H44" i="16"/>
  <c r="H21" i="16"/>
  <c r="H20" i="16"/>
  <c r="H19" i="16"/>
  <c r="H18" i="16"/>
  <c r="H17" i="16"/>
  <c r="H15" i="16"/>
  <c r="H14" i="16"/>
  <c r="H13" i="16"/>
  <c r="H12" i="16"/>
  <c r="H11" i="16"/>
  <c r="H4" i="11"/>
  <c r="H43" i="9"/>
  <c r="H40" i="9"/>
  <c r="H13" i="8"/>
  <c r="H10" i="7"/>
  <c r="H4" i="7"/>
  <c r="H3" i="7"/>
  <c r="H13" i="6"/>
  <c r="H16" i="5"/>
  <c r="H7" i="6"/>
  <c r="H6" i="6"/>
  <c r="H7" i="5"/>
  <c r="H8" i="5"/>
  <c r="H11" i="5"/>
  <c r="H12" i="5"/>
  <c r="H5" i="6"/>
  <c r="H15" i="5"/>
  <c r="H14" i="5"/>
  <c r="H41" i="5"/>
  <c r="H13" i="5"/>
  <c r="H40" i="5"/>
  <c r="H4" i="5"/>
  <c r="H21" i="3" l="1"/>
  <c r="G18" i="3"/>
  <c r="F20" i="3"/>
  <c r="F21" i="3"/>
  <c r="G21" i="3"/>
  <c r="G19" i="3"/>
  <c r="G20" i="3"/>
  <c r="F19" i="3"/>
  <c r="F18" i="3"/>
  <c r="F17" i="3"/>
  <c r="H34" i="20"/>
  <c r="H44" i="20"/>
  <c r="H18" i="20"/>
  <c r="H23" i="19"/>
  <c r="H49" i="19"/>
  <c r="H20" i="18"/>
  <c r="H55" i="18"/>
  <c r="H45" i="18"/>
  <c r="H21" i="17"/>
  <c r="H52" i="17"/>
  <c r="H63" i="16"/>
  <c r="H28" i="20"/>
  <c r="H12" i="20"/>
  <c r="H59" i="19"/>
  <c r="H17" i="19"/>
  <c r="H41" i="19"/>
  <c r="H14" i="18"/>
  <c r="H37" i="18"/>
  <c r="H62" i="17"/>
  <c r="H44" i="17"/>
  <c r="H15" i="17"/>
  <c r="H53" i="16"/>
  <c r="H22" i="16"/>
  <c r="H45" i="16"/>
  <c r="H16" i="16"/>
  <c r="H41" i="6"/>
  <c r="H63" i="14"/>
  <c r="H62" i="14"/>
  <c r="H61" i="14"/>
  <c r="H60" i="14"/>
  <c r="H59" i="14"/>
  <c r="H58" i="14"/>
  <c r="H57" i="14"/>
  <c r="H56" i="14"/>
  <c r="H53" i="14"/>
  <c r="H52" i="14"/>
  <c r="H51" i="14"/>
  <c r="H50" i="14"/>
  <c r="H49" i="14"/>
  <c r="H48" i="14"/>
  <c r="H47" i="14"/>
  <c r="H45" i="14"/>
  <c r="H38" i="14"/>
  <c r="H37" i="14"/>
  <c r="H20" i="14"/>
  <c r="H19" i="14"/>
  <c r="H18" i="14"/>
  <c r="H17" i="14"/>
  <c r="H16" i="14"/>
  <c r="H14" i="14"/>
  <c r="H13" i="14"/>
  <c r="H12" i="14"/>
  <c r="H11" i="14"/>
  <c r="H10" i="14"/>
  <c r="H4" i="14"/>
  <c r="H60" i="13"/>
  <c r="H15" i="3" s="1"/>
  <c r="H59" i="13"/>
  <c r="H58" i="13"/>
  <c r="H57" i="13"/>
  <c r="H56" i="13"/>
  <c r="H55" i="13"/>
  <c r="H54" i="13"/>
  <c r="H53" i="13"/>
  <c r="E15" i="3" s="1"/>
  <c r="H50" i="13"/>
  <c r="H49" i="13"/>
  <c r="H48" i="13"/>
  <c r="H47" i="13"/>
  <c r="H46" i="13"/>
  <c r="H45" i="13"/>
  <c r="H44" i="13"/>
  <c r="H42" i="13"/>
  <c r="H36" i="13"/>
  <c r="H35" i="13"/>
  <c r="H34" i="13"/>
  <c r="H21" i="13"/>
  <c r="H20" i="13"/>
  <c r="H19" i="13"/>
  <c r="H18" i="13"/>
  <c r="H17" i="13"/>
  <c r="H15" i="13"/>
  <c r="H14" i="13"/>
  <c r="H13" i="13"/>
  <c r="H12" i="13"/>
  <c r="H11" i="13"/>
  <c r="H10" i="13"/>
  <c r="H7" i="13"/>
  <c r="H5" i="13"/>
  <c r="H60" i="12"/>
  <c r="H59" i="12"/>
  <c r="H14" i="3" s="1"/>
  <c r="H58" i="12"/>
  <c r="H57" i="12"/>
  <c r="H56" i="12"/>
  <c r="H55" i="12"/>
  <c r="H54" i="12"/>
  <c r="H53" i="12"/>
  <c r="H50" i="12"/>
  <c r="H49" i="12"/>
  <c r="H48" i="12"/>
  <c r="H47" i="12"/>
  <c r="H46" i="12"/>
  <c r="H45" i="12"/>
  <c r="H44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5" i="12"/>
  <c r="H24" i="12"/>
  <c r="H23" i="12"/>
  <c r="H22" i="12"/>
  <c r="H21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49" i="11"/>
  <c r="H48" i="11"/>
  <c r="H13" i="3" s="1"/>
  <c r="H47" i="11"/>
  <c r="H46" i="11"/>
  <c r="G13" i="3" s="1"/>
  <c r="H45" i="11"/>
  <c r="H44" i="11"/>
  <c r="H43" i="11"/>
  <c r="H42" i="11"/>
  <c r="E13" i="3" s="1"/>
  <c r="H39" i="11"/>
  <c r="H38" i="11"/>
  <c r="H37" i="11"/>
  <c r="H36" i="11"/>
  <c r="H35" i="11"/>
  <c r="H34" i="11"/>
  <c r="H33" i="11"/>
  <c r="H31" i="11"/>
  <c r="H16" i="11"/>
  <c r="H15" i="11"/>
  <c r="H14" i="11"/>
  <c r="H13" i="11"/>
  <c r="H12" i="11"/>
  <c r="H10" i="11"/>
  <c r="H9" i="11"/>
  <c r="H8" i="11"/>
  <c r="H7" i="11"/>
  <c r="H6" i="11"/>
  <c r="H5" i="11"/>
  <c r="H58" i="10"/>
  <c r="H57" i="10"/>
  <c r="H12" i="3" s="1"/>
  <c r="H56" i="10"/>
  <c r="H55" i="10"/>
  <c r="H54" i="10"/>
  <c r="H53" i="10"/>
  <c r="H52" i="10"/>
  <c r="H51" i="10"/>
  <c r="E12" i="3" s="1"/>
  <c r="H48" i="10"/>
  <c r="H47" i="10"/>
  <c r="H46" i="10"/>
  <c r="H45" i="10"/>
  <c r="H44" i="10"/>
  <c r="H43" i="10"/>
  <c r="H40" i="10"/>
  <c r="H39" i="10"/>
  <c r="H25" i="10"/>
  <c r="H24" i="10"/>
  <c r="H23" i="10"/>
  <c r="H22" i="10"/>
  <c r="H21" i="10"/>
  <c r="H19" i="10"/>
  <c r="H18" i="10"/>
  <c r="H17" i="10"/>
  <c r="H16" i="10"/>
  <c r="H15" i="10"/>
  <c r="H14" i="10"/>
  <c r="H13" i="10"/>
  <c r="H12" i="10"/>
  <c r="H11" i="10"/>
  <c r="H10" i="10"/>
  <c r="H63" i="9"/>
  <c r="H62" i="9"/>
  <c r="H11" i="3" s="1"/>
  <c r="H61" i="9"/>
  <c r="H60" i="9"/>
  <c r="H59" i="9"/>
  <c r="H58" i="9"/>
  <c r="H57" i="9"/>
  <c r="H56" i="9"/>
  <c r="E11" i="3" s="1"/>
  <c r="H53" i="9"/>
  <c r="H52" i="9"/>
  <c r="H51" i="9"/>
  <c r="H50" i="9"/>
  <c r="H49" i="9"/>
  <c r="H48" i="9"/>
  <c r="H47" i="9"/>
  <c r="H45" i="9"/>
  <c r="H44" i="9"/>
  <c r="H42" i="9"/>
  <c r="H23" i="9"/>
  <c r="H22" i="9"/>
  <c r="H21" i="9"/>
  <c r="H20" i="9"/>
  <c r="H19" i="9"/>
  <c r="H17" i="9"/>
  <c r="H16" i="9"/>
  <c r="H15" i="9"/>
  <c r="H14" i="9"/>
  <c r="H70" i="8"/>
  <c r="H69" i="8"/>
  <c r="H68" i="8"/>
  <c r="H67" i="8"/>
  <c r="H66" i="8"/>
  <c r="H65" i="8"/>
  <c r="H64" i="8"/>
  <c r="H63" i="8"/>
  <c r="E10" i="3" s="1"/>
  <c r="H60" i="8"/>
  <c r="H59" i="8"/>
  <c r="H58" i="8"/>
  <c r="H57" i="8"/>
  <c r="H56" i="8"/>
  <c r="H55" i="8"/>
  <c r="H25" i="8"/>
  <c r="H24" i="8"/>
  <c r="H23" i="8"/>
  <c r="H22" i="8"/>
  <c r="H21" i="8"/>
  <c r="H19" i="8"/>
  <c r="H18" i="8"/>
  <c r="H17" i="8"/>
  <c r="H16" i="8"/>
  <c r="H15" i="8"/>
  <c r="H14" i="8"/>
  <c r="H12" i="8"/>
  <c r="H11" i="8"/>
  <c r="H4" i="8"/>
  <c r="H3" i="8"/>
  <c r="H59" i="7"/>
  <c r="H58" i="7"/>
  <c r="H9" i="3" s="1"/>
  <c r="H57" i="7"/>
  <c r="H56" i="7"/>
  <c r="H55" i="7"/>
  <c r="H54" i="7"/>
  <c r="H53" i="7"/>
  <c r="H52" i="7"/>
  <c r="E9" i="3" s="1"/>
  <c r="H49" i="7"/>
  <c r="H48" i="7"/>
  <c r="H47" i="7"/>
  <c r="H46" i="7"/>
  <c r="H22" i="7"/>
  <c r="H21" i="7"/>
  <c r="H20" i="7"/>
  <c r="H19" i="7"/>
  <c r="H18" i="7"/>
  <c r="H16" i="7"/>
  <c r="H15" i="7"/>
  <c r="H14" i="7"/>
  <c r="H58" i="6"/>
  <c r="H57" i="6"/>
  <c r="H8" i="3" s="1"/>
  <c r="H56" i="6"/>
  <c r="H55" i="6"/>
  <c r="H54" i="6"/>
  <c r="H53" i="6"/>
  <c r="H52" i="6"/>
  <c r="H51" i="6"/>
  <c r="E8" i="3" s="1"/>
  <c r="H48" i="6"/>
  <c r="H47" i="6"/>
  <c r="H46" i="6"/>
  <c r="H45" i="6"/>
  <c r="H44" i="6"/>
  <c r="H43" i="6"/>
  <c r="H24" i="6"/>
  <c r="H23" i="6"/>
  <c r="H22" i="6"/>
  <c r="H21" i="6"/>
  <c r="H20" i="6"/>
  <c r="H18" i="6"/>
  <c r="H17" i="6"/>
  <c r="H16" i="6"/>
  <c r="H15" i="6"/>
  <c r="H14" i="6"/>
  <c r="H12" i="6"/>
  <c r="H11" i="6"/>
  <c r="H10" i="6"/>
  <c r="H9" i="6"/>
  <c r="H8" i="6"/>
  <c r="H3" i="6"/>
  <c r="H68" i="5"/>
  <c r="H67" i="5"/>
  <c r="H7" i="3" s="1"/>
  <c r="H66" i="5"/>
  <c r="H65" i="5"/>
  <c r="H64" i="5"/>
  <c r="H63" i="5"/>
  <c r="H62" i="5"/>
  <c r="H61" i="5"/>
  <c r="E7" i="3" s="1"/>
  <c r="H58" i="5"/>
  <c r="H57" i="5"/>
  <c r="H56" i="5"/>
  <c r="H55" i="5"/>
  <c r="H54" i="5"/>
  <c r="H53" i="5"/>
  <c r="H52" i="5"/>
  <c r="H50" i="5"/>
  <c r="H39" i="5"/>
  <c r="H38" i="5"/>
  <c r="H37" i="5"/>
  <c r="H36" i="5"/>
  <c r="H35" i="5"/>
  <c r="H32" i="5"/>
  <c r="H31" i="5"/>
  <c r="H30" i="5"/>
  <c r="H28" i="5"/>
  <c r="H27" i="5"/>
  <c r="H25" i="5"/>
  <c r="H24" i="5"/>
  <c r="H23" i="5"/>
  <c r="H22" i="5"/>
  <c r="H21" i="5"/>
  <c r="H19" i="5"/>
  <c r="H17" i="5"/>
  <c r="H6" i="5"/>
  <c r="H5" i="5"/>
  <c r="H3" i="5"/>
  <c r="H58" i="4"/>
  <c r="I31" i="2" s="1"/>
  <c r="H57" i="4"/>
  <c r="I30" i="2" s="1"/>
  <c r="H56" i="4"/>
  <c r="I29" i="2" s="1"/>
  <c r="H55" i="4"/>
  <c r="I28" i="2" s="1"/>
  <c r="H54" i="4"/>
  <c r="I27" i="2" s="1"/>
  <c r="H53" i="4"/>
  <c r="I26" i="2" s="1"/>
  <c r="H52" i="4"/>
  <c r="H49" i="4"/>
  <c r="H48" i="4"/>
  <c r="H47" i="4"/>
  <c r="H46" i="4"/>
  <c r="H45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7" i="4"/>
  <c r="H16" i="4"/>
  <c r="H15" i="4"/>
  <c r="H14" i="4"/>
  <c r="H13" i="4"/>
  <c r="H12" i="4"/>
  <c r="H10" i="4"/>
  <c r="H9" i="4"/>
  <c r="H8" i="4"/>
  <c r="H5" i="4"/>
  <c r="H4" i="4"/>
  <c r="H3" i="4"/>
  <c r="B16" i="3"/>
  <c r="B15" i="3"/>
  <c r="E14" i="3"/>
  <c r="B14" i="3"/>
  <c r="B13" i="3"/>
  <c r="B12" i="3"/>
  <c r="B11" i="3"/>
  <c r="B10" i="3"/>
  <c r="B9" i="3"/>
  <c r="B8" i="3"/>
  <c r="B7" i="3"/>
  <c r="A7" i="3" s="1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19" i="2"/>
  <c r="G19" i="2"/>
  <c r="H18" i="2"/>
  <c r="H17" i="2"/>
  <c r="H16" i="2"/>
  <c r="H15" i="2"/>
  <c r="H14" i="2"/>
  <c r="H13" i="2"/>
  <c r="H12" i="2"/>
  <c r="C27" i="1"/>
  <c r="C26" i="1"/>
  <c r="C25" i="1"/>
  <c r="C24" i="1"/>
  <c r="C23" i="1"/>
  <c r="C22" i="1"/>
  <c r="C21" i="1"/>
  <c r="C20" i="1"/>
  <c r="C19" i="1"/>
  <c r="C18" i="1"/>
  <c r="G11" i="3" l="1"/>
  <c r="H50" i="4"/>
  <c r="I16" i="2"/>
  <c r="G12" i="3"/>
  <c r="I18" i="2"/>
  <c r="I15" i="2"/>
  <c r="I13" i="2"/>
  <c r="I14" i="2"/>
  <c r="H42" i="4"/>
  <c r="H18" i="4"/>
  <c r="H11" i="4"/>
  <c r="I19" i="2"/>
  <c r="F7" i="3"/>
  <c r="H10" i="3"/>
  <c r="G14" i="3"/>
  <c r="H26" i="12"/>
  <c r="H49" i="6"/>
  <c r="G15" i="3"/>
  <c r="H51" i="13"/>
  <c r="F15" i="3"/>
  <c r="H22" i="13"/>
  <c r="H54" i="9"/>
  <c r="H24" i="9"/>
  <c r="G10" i="3"/>
  <c r="H26" i="8"/>
  <c r="G9" i="3"/>
  <c r="H26" i="5"/>
  <c r="H59" i="5"/>
  <c r="G7" i="3"/>
  <c r="E16" i="3"/>
  <c r="E23" i="3" s="1"/>
  <c r="H21" i="14"/>
  <c r="H23" i="7"/>
  <c r="H26" i="10"/>
  <c r="H49" i="10"/>
  <c r="H25" i="6"/>
  <c r="H17" i="3"/>
  <c r="H16" i="3"/>
  <c r="I12" i="2"/>
  <c r="H51" i="12"/>
  <c r="H61" i="8"/>
  <c r="H54" i="14"/>
  <c r="G16" i="3"/>
  <c r="F16" i="3"/>
  <c r="H59" i="4"/>
  <c r="H35" i="20"/>
  <c r="H50" i="19"/>
  <c r="H46" i="18"/>
  <c r="H53" i="17"/>
  <c r="H64" i="14"/>
  <c r="H61" i="13"/>
  <c r="H54" i="16"/>
  <c r="H46" i="14"/>
  <c r="H15" i="14"/>
  <c r="H16" i="13"/>
  <c r="H43" i="13"/>
  <c r="F14" i="3"/>
  <c r="H61" i="12"/>
  <c r="H20" i="12"/>
  <c r="H43" i="12"/>
  <c r="F13" i="3"/>
  <c r="H17" i="11"/>
  <c r="H40" i="11"/>
  <c r="H32" i="11"/>
  <c r="F12" i="3"/>
  <c r="H59" i="10"/>
  <c r="H11" i="11"/>
  <c r="H20" i="10"/>
  <c r="H41" i="10"/>
  <c r="F11" i="3"/>
  <c r="H64" i="9"/>
  <c r="H46" i="9"/>
  <c r="H18" i="9"/>
  <c r="F10" i="3"/>
  <c r="H20" i="8"/>
  <c r="F9" i="3"/>
  <c r="H60" i="7"/>
  <c r="H50" i="7"/>
  <c r="H17" i="7"/>
  <c r="H45" i="7"/>
  <c r="F8" i="3"/>
  <c r="H59" i="6"/>
  <c r="H19" i="6"/>
  <c r="H69" i="5"/>
  <c r="H20" i="5"/>
  <c r="H51" i="5"/>
  <c r="H71" i="8"/>
  <c r="H50" i="11"/>
  <c r="G8" i="3"/>
  <c r="I25" i="2"/>
  <c r="I32" i="2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I9" i="2" l="1"/>
  <c r="I8" i="2"/>
  <c r="I7" i="2"/>
  <c r="I24" i="2"/>
  <c r="H51" i="4"/>
  <c r="H23" i="3"/>
  <c r="I10" i="2"/>
  <c r="F23" i="3"/>
  <c r="H52" i="12"/>
  <c r="D14" i="3" s="1"/>
  <c r="D17" i="3"/>
  <c r="D18" i="3"/>
  <c r="D19" i="3"/>
  <c r="D20" i="3"/>
  <c r="H50" i="6"/>
  <c r="H62" i="8"/>
  <c r="D10" i="3" s="1"/>
  <c r="D21" i="3"/>
  <c r="H55" i="14"/>
  <c r="D16" i="3" s="1"/>
  <c r="H52" i="13"/>
  <c r="D15" i="3" s="1"/>
  <c r="H41" i="11"/>
  <c r="D13" i="3" s="1"/>
  <c r="H50" i="10"/>
  <c r="H55" i="9"/>
  <c r="I20" i="2"/>
  <c r="I36" i="2" s="1"/>
  <c r="H51" i="7"/>
  <c r="H60" i="5"/>
  <c r="I23" i="2" l="1"/>
  <c r="J49" i="2" s="1"/>
  <c r="I49" i="2" s="1"/>
  <c r="H61" i="4"/>
  <c r="H63" i="4" s="1"/>
  <c r="J50" i="2"/>
  <c r="I50" i="2" s="1"/>
  <c r="M19" i="3"/>
  <c r="M17" i="3"/>
  <c r="M18" i="3"/>
  <c r="M8" i="3"/>
  <c r="M20" i="3"/>
  <c r="M21" i="3"/>
  <c r="D8" i="3"/>
  <c r="D12" i="3"/>
  <c r="M12" i="3"/>
  <c r="D11" i="3"/>
  <c r="M11" i="3"/>
  <c r="M9" i="3"/>
  <c r="D9" i="3"/>
  <c r="I11" i="2"/>
  <c r="D7" i="3"/>
  <c r="I34" i="2" l="1"/>
  <c r="I35" i="2"/>
  <c r="I37" i="2" s="1"/>
  <c r="D23" i="3"/>
  <c r="P8" i="3"/>
  <c r="M16" i="3"/>
  <c r="P12" i="3"/>
  <c r="I42" i="2"/>
  <c r="I41" i="2"/>
  <c r="M10" i="3"/>
  <c r="M15" i="3"/>
  <c r="M13" i="3"/>
  <c r="P13" i="3" s="1"/>
  <c r="P11" i="3"/>
  <c r="M7" i="3"/>
  <c r="P7" i="3" s="1"/>
  <c r="P17" i="3"/>
  <c r="P20" i="3"/>
  <c r="P15" i="3" l="1"/>
  <c r="P18" i="3"/>
  <c r="P16" i="3" l="1"/>
  <c r="P19" i="3"/>
  <c r="P10" i="3"/>
  <c r="P9" i="3"/>
  <c r="I21" i="2"/>
  <c r="I22" i="2" s="1"/>
  <c r="M14" i="3"/>
  <c r="M23" i="3" s="1"/>
  <c r="P14" i="3" l="1"/>
  <c r="P21" i="3" l="1"/>
  <c r="J23" i="3" l="1"/>
  <c r="E24" i="3" l="1"/>
  <c r="H24" i="3"/>
  <c r="G23" i="3"/>
  <c r="G24" i="3" s="1"/>
  <c r="P23" i="3"/>
  <c r="L7" i="3" l="1"/>
  <c r="I12" i="3"/>
  <c r="J12" i="3" s="1"/>
  <c r="K16" i="3"/>
  <c r="L17" i="3"/>
  <c r="I13" i="3"/>
  <c r="J13" i="3" s="1"/>
  <c r="L20" i="3"/>
  <c r="K20" i="3"/>
  <c r="L21" i="3"/>
  <c r="L16" i="3"/>
  <c r="K11" i="3"/>
  <c r="I8" i="3"/>
  <c r="J8" i="3" s="1"/>
  <c r="I14" i="3"/>
  <c r="J14" i="3" s="1"/>
  <c r="I16" i="3"/>
  <c r="I19" i="3"/>
  <c r="J19" i="3" s="1"/>
  <c r="I17" i="3"/>
  <c r="J17" i="3" s="1"/>
  <c r="K9" i="3"/>
  <c r="L14" i="3"/>
  <c r="L10" i="3"/>
  <c r="L8" i="3"/>
  <c r="K10" i="3"/>
  <c r="K7" i="3"/>
  <c r="K21" i="3"/>
  <c r="K19" i="3"/>
  <c r="K15" i="3"/>
  <c r="K12" i="3"/>
  <c r="I18" i="3"/>
  <c r="K8" i="3"/>
  <c r="L9" i="3"/>
  <c r="I15" i="3"/>
  <c r="J15" i="3" s="1"/>
  <c r="I21" i="3"/>
  <c r="J21" i="3" s="1"/>
  <c r="I7" i="3"/>
  <c r="J7" i="3" s="1"/>
  <c r="K18" i="3"/>
  <c r="L18" i="3"/>
  <c r="L12" i="3"/>
  <c r="I9" i="3"/>
  <c r="J9" i="3" s="1"/>
  <c r="L15" i="3"/>
  <c r="I10" i="3"/>
  <c r="K14" i="3"/>
  <c r="L11" i="3"/>
  <c r="L19" i="3"/>
  <c r="K17" i="3"/>
  <c r="I20" i="3"/>
  <c r="J20" i="3" s="1"/>
  <c r="I11" i="3"/>
  <c r="J11" i="3" s="1"/>
  <c r="K13" i="3"/>
  <c r="L13" i="3"/>
  <c r="H60" i="6" l="1"/>
  <c r="H63" i="6" s="1"/>
  <c r="N7" i="3"/>
  <c r="H18" i="1" s="1"/>
  <c r="N17" i="3"/>
  <c r="E28" i="1" s="1"/>
  <c r="H70" i="5"/>
  <c r="H73" i="5" s="1"/>
  <c r="N21" i="3"/>
  <c r="E32" i="1" s="1"/>
  <c r="H51" i="11"/>
  <c r="H54" i="11" s="1"/>
  <c r="H60" i="10"/>
  <c r="H63" i="10" s="1"/>
  <c r="H62" i="13"/>
  <c r="H65" i="13" s="1"/>
  <c r="N9" i="3"/>
  <c r="G20" i="1" s="1"/>
  <c r="H62" i="12"/>
  <c r="H65" i="12" s="1"/>
  <c r="I23" i="3"/>
  <c r="N11" i="3"/>
  <c r="E22" i="1" s="1"/>
  <c r="N20" i="3"/>
  <c r="G31" i="1" s="1"/>
  <c r="H61" i="7"/>
  <c r="H64" i="7" s="1"/>
  <c r="H65" i="14"/>
  <c r="H68" i="14" s="1"/>
  <c r="J16" i="3"/>
  <c r="N16" i="3" s="1"/>
  <c r="N8" i="3"/>
  <c r="N15" i="3"/>
  <c r="H46" i="21"/>
  <c r="H49" i="21" s="1"/>
  <c r="H64" i="16"/>
  <c r="H67" i="16" s="1"/>
  <c r="H45" i="20"/>
  <c r="H48" i="20" s="1"/>
  <c r="N12" i="3"/>
  <c r="H56" i="18"/>
  <c r="H59" i="18" s="1"/>
  <c r="L23" i="3"/>
  <c r="L24" i="3" s="1"/>
  <c r="H63" i="17"/>
  <c r="H66" i="17" s="1"/>
  <c r="J18" i="3"/>
  <c r="N18" i="3" s="1"/>
  <c r="N14" i="3"/>
  <c r="E25" i="1" s="1"/>
  <c r="N13" i="3"/>
  <c r="H60" i="19"/>
  <c r="H63" i="19" s="1"/>
  <c r="H65" i="9"/>
  <c r="H68" i="9" s="1"/>
  <c r="J10" i="3"/>
  <c r="N10" i="3" s="1"/>
  <c r="H72" i="8"/>
  <c r="H75" i="8" s="1"/>
  <c r="K23" i="3"/>
  <c r="F18" i="1" s="1"/>
  <c r="F34" i="1" s="1"/>
  <c r="N19" i="3"/>
  <c r="E20" i="1" l="1"/>
  <c r="G28" i="1"/>
  <c r="H28" i="1"/>
  <c r="H31" i="1"/>
  <c r="E31" i="1"/>
  <c r="G18" i="1"/>
  <c r="E18" i="1"/>
  <c r="H20" i="1"/>
  <c r="G32" i="1"/>
  <c r="H32" i="1"/>
  <c r="H22" i="1"/>
  <c r="G22" i="1"/>
  <c r="N22" i="3"/>
  <c r="H33" i="1" s="1"/>
  <c r="I40" i="2"/>
  <c r="I43" i="2" s="1"/>
  <c r="K51" i="1"/>
  <c r="E27" i="1"/>
  <c r="H27" i="1"/>
  <c r="G27" i="1"/>
  <c r="H26" i="1"/>
  <c r="G26" i="1"/>
  <c r="E26" i="1"/>
  <c r="H25" i="1"/>
  <c r="E29" i="1"/>
  <c r="G29" i="1"/>
  <c r="H29" i="1"/>
  <c r="H23" i="1"/>
  <c r="G23" i="1"/>
  <c r="E23" i="1"/>
  <c r="G19" i="1"/>
  <c r="H19" i="1"/>
  <c r="E19" i="1"/>
  <c r="G25" i="1"/>
  <c r="H30" i="1"/>
  <c r="G30" i="1"/>
  <c r="E30" i="1"/>
  <c r="G24" i="1"/>
  <c r="E24" i="1"/>
  <c r="H24" i="1"/>
  <c r="G21" i="1"/>
  <c r="E21" i="1"/>
  <c r="H21" i="1"/>
  <c r="N23" i="3" l="1"/>
  <c r="I24" i="3" s="1"/>
  <c r="E33" i="1"/>
  <c r="E34" i="1" s="1"/>
  <c r="G33" i="1"/>
  <c r="G34" i="1" s="1"/>
  <c r="H34" i="1"/>
  <c r="G14" i="1" l="1"/>
  <c r="N26" i="3"/>
  <c r="D24" i="3"/>
  <c r="N24" i="3"/>
  <c r="K24" i="3"/>
  <c r="J24" i="3"/>
  <c r="F24" i="3"/>
  <c r="D14" i="1"/>
</calcChain>
</file>

<file path=xl/sharedStrings.xml><?xml version="1.0" encoding="utf-8"?>
<sst xmlns="http://schemas.openxmlformats.org/spreadsheetml/2006/main" count="1562" uniqueCount="405">
  <si>
    <t>(현대/기아차 설비협력업체 견적통일양식)</t>
    <phoneticPr fontId="2" type="noConversion"/>
  </si>
  <si>
    <t xml:space="preserve">見  積  書   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</si>
  <si>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</si>
  <si>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</si>
  <si>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</si>
  <si>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</si>
  <si>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</si>
  <si>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</si>
  <si>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t>제출후 30 일</t>
    <phoneticPr fontId="2" type="noConversion"/>
  </si>
  <si>
    <t>인도장소</t>
    <phoneticPr fontId="2" type="noConversion"/>
  </si>
  <si>
    <t>지불조건</t>
    <phoneticPr fontId="2" type="noConversion"/>
  </si>
  <si>
    <t>협의사항</t>
    <phoneticPr fontId="2" type="noConversion"/>
  </si>
  <si>
    <t>연 락 처 :</t>
  </si>
  <si>
    <t>견적금액</t>
    <phoneticPr fontId="2" type="noConversion"/>
  </si>
  <si>
    <t>)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</si>
  <si>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</si>
  <si>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</si>
  <si>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</si>
  <si>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>비  고</t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</si>
  <si>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</si>
  <si>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</si>
  <si>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</si>
  <si>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</si>
  <si>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</si>
  <si>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</si>
  <si>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</si>
  <si>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</si>
  <si>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</si>
  <si>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</si>
  <si>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</si>
  <si>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</si>
  <si>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</si>
  <si>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</si>
  <si>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</si>
  <si>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</si>
  <si>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</si>
  <si>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</si>
  <si>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</si>
  <si>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</si>
  <si>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</si>
  <si>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</si>
  <si>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</si>
  <si>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</si>
  <si>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</si>
  <si>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</si>
  <si>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</si>
  <si>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</si>
  <si>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</si>
  <si>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</si>
  <si>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</si>
  <si>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</si>
  <si>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</si>
  <si>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</si>
  <si>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</si>
  <si>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</si>
  <si>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</si>
  <si>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</si>
  <si>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</si>
  <si>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</si>
  <si>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</si>
  <si>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</si>
  <si>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</si>
  <si>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</si>
  <si>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</si>
  <si>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</si>
  <si>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</si>
  <si>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</si>
  <si>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</si>
  <si>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</si>
  <si>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기계/전기자재</t>
    <phoneticPr fontId="2" type="noConversion"/>
  </si>
  <si>
    <t>철거(개조시)</t>
    <phoneticPr fontId="2" type="noConversion"/>
  </si>
  <si>
    <t>설계,프로그램</t>
    <phoneticPr fontId="2" type="noConversion"/>
  </si>
  <si>
    <t>제작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</si>
  <si>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</si>
  <si>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</si>
  <si>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</si>
  <si>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</si>
  <si>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</si>
  <si>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</si>
  <si>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</si>
  <si>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</si>
  <si>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</si>
  <si>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</si>
  <si>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</si>
  <si>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</si>
  <si>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</si>
  <si>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</si>
  <si>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</si>
  <si>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</si>
  <si>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</si>
  <si>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</si>
  <si>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</si>
  <si>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</si>
  <si>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</si>
  <si>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</si>
  <si>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</si>
  <si>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</si>
  <si>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</si>
  <si>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</si>
  <si>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</si>
  <si>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단위장비명</t>
    <phoneticPr fontId="2" type="noConversion"/>
  </si>
  <si>
    <t>철거</t>
    <phoneticPr fontId="2" type="noConversion"/>
  </si>
  <si>
    <t>설치/시운전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</si>
  <si>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</si>
  <si>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</si>
  <si>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</si>
  <si>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</si>
  <si>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</si>
  <si>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</si>
  <si>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</si>
  <si>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</si>
  <si>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</si>
  <si>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</si>
  <si>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</si>
  <si>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</si>
  <si>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</si>
  <si>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</si>
  <si>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</si>
  <si>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</si>
  <si>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</si>
  <si>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</si>
  <si>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</si>
  <si>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</si>
  <si>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</si>
  <si>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</si>
  <si>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</si>
  <si>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기타자재</t>
    <phoneticPr fontId="2" type="noConversion"/>
  </si>
  <si>
    <t>ST</t>
    <phoneticPr fontId="2" type="noConversion"/>
  </si>
  <si>
    <t>전기자재</t>
    <phoneticPr fontId="2" type="noConversion"/>
  </si>
  <si>
    <t>자재비 소계</t>
    <phoneticPr fontId="2" type="noConversion"/>
  </si>
  <si>
    <t>노
무
비</t>
    <phoneticPr fontId="2" type="noConversion"/>
  </si>
  <si>
    <t>작화. PROGRAM 비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</si>
  <si>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</si>
  <si>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</si>
  <si>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</si>
  <si>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</si>
  <si>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</si>
  <si>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</si>
  <si>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</si>
  <si>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</si>
  <si>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</si>
  <si>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</si>
  <si>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</si>
  <si>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</si>
  <si>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</si>
  <si>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</si>
  <si>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</si>
  <si>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</si>
  <si>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</si>
  <si>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</si>
  <si>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</si>
  <si>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</si>
  <si>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</si>
  <si>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</si>
  <si>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샘플승인비</t>
    <phoneticPr fontId="2" type="noConversion"/>
  </si>
  <si>
    <t>운반및중장비사용</t>
    <phoneticPr fontId="2" type="noConversion"/>
  </si>
  <si>
    <t>운반구 철거</t>
    <phoneticPr fontId="2" type="noConversion"/>
  </si>
  <si>
    <t>기계 도장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</si>
  <si>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</si>
  <si>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</si>
  <si>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</si>
  <si>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</si>
  <si>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</si>
  <si>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</si>
  <si>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</si>
  <si>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Sensor &amp; 케이블</t>
    <phoneticPr fontId="2" type="noConversion"/>
  </si>
  <si>
    <t>RFID SYSTEM &amp; Cable</t>
    <phoneticPr fontId="2" type="noConversion"/>
  </si>
  <si>
    <t>SET</t>
    <phoneticPr fontId="2" type="noConversion"/>
  </si>
  <si>
    <t>바코드 스캐너</t>
    <phoneticPr fontId="2" type="noConversion"/>
  </si>
  <si>
    <t>SET</t>
    <phoneticPr fontId="2" type="noConversion"/>
  </si>
  <si>
    <t>칠러</t>
    <phoneticPr fontId="2" type="noConversion"/>
  </si>
  <si>
    <t>에어블로잉</t>
    <phoneticPr fontId="2" type="noConversion"/>
  </si>
  <si>
    <t>집진기</t>
    <phoneticPr fontId="2" type="noConversion"/>
  </si>
  <si>
    <t>LVDT</t>
    <phoneticPr fontId="2" type="noConversion"/>
  </si>
  <si>
    <t>LIFT &amp; STOPPER UNIT</t>
    <phoneticPr fontId="2" type="noConversion"/>
  </si>
  <si>
    <t>직교로보트 GRIPPER</t>
    <phoneticPr fontId="2" type="noConversion"/>
  </si>
  <si>
    <t>바니쉬 도포기</t>
    <phoneticPr fontId="2" type="noConversion"/>
  </si>
  <si>
    <t>겐트리 로더</t>
    <phoneticPr fontId="2" type="noConversion"/>
  </si>
  <si>
    <t>전자저울</t>
    <phoneticPr fontId="2" type="noConversion"/>
  </si>
  <si>
    <t>바니시 도포 FRAME</t>
    <phoneticPr fontId="2" type="noConversion"/>
  </si>
  <si>
    <t>공급탱크</t>
    <phoneticPr fontId="2" type="noConversion"/>
  </si>
  <si>
    <t>경화로</t>
    <phoneticPr fontId="2" type="noConversion"/>
  </si>
  <si>
    <t>냉각로</t>
    <phoneticPr fontId="2" type="noConversion"/>
  </si>
  <si>
    <t>CO2 자동 소화 장치</t>
    <phoneticPr fontId="2" type="noConversion"/>
  </si>
  <si>
    <t>와이어 포밍기</t>
    <phoneticPr fontId="2" type="noConversion"/>
  </si>
  <si>
    <t>포밍 FRAME</t>
    <phoneticPr fontId="2" type="noConversion"/>
  </si>
  <si>
    <t>비전 FRAME</t>
    <phoneticPr fontId="2" type="noConversion"/>
  </si>
  <si>
    <t>터미널 조립기</t>
    <phoneticPr fontId="2" type="noConversion"/>
  </si>
  <si>
    <t>무한궤도 CONVEYOR</t>
    <phoneticPr fontId="2" type="noConversion"/>
  </si>
  <si>
    <t>핸디스캐너</t>
    <phoneticPr fontId="2" type="noConversion"/>
  </si>
  <si>
    <t>터미널 상승/회전/정렬</t>
    <phoneticPr fontId="2" type="noConversion"/>
  </si>
  <si>
    <t>코킹 &amp; 컷팅기</t>
    <phoneticPr fontId="2" type="noConversion"/>
  </si>
  <si>
    <t>퓨징기</t>
    <phoneticPr fontId="2" type="noConversion"/>
  </si>
  <si>
    <t>보관함+이동대차</t>
    <phoneticPr fontId="2" type="noConversion"/>
  </si>
  <si>
    <t>수동 에폭시 공급 장치</t>
    <phoneticPr fontId="2" type="noConversion"/>
  </si>
  <si>
    <t>서지탱크</t>
    <phoneticPr fontId="2" type="noConversion"/>
  </si>
  <si>
    <t>에폭시 도포기</t>
    <phoneticPr fontId="2" type="noConversion"/>
  </si>
  <si>
    <t>에폭시 냉장고</t>
    <phoneticPr fontId="2" type="noConversion"/>
  </si>
  <si>
    <t>직교로보트 그리퍼</t>
    <phoneticPr fontId="2" type="noConversion"/>
  </si>
  <si>
    <t>로보트 그리퍼</t>
    <phoneticPr fontId="2" type="noConversion"/>
  </si>
  <si>
    <t>PLC</t>
    <phoneticPr fontId="2" type="noConversion"/>
  </si>
  <si>
    <t>HMI</t>
    <phoneticPr fontId="2" type="noConversion"/>
  </si>
  <si>
    <t>Air cylinder</t>
    <phoneticPr fontId="2" type="noConversion"/>
  </si>
  <si>
    <t>Sol Valve</t>
    <phoneticPr fontId="2" type="noConversion"/>
  </si>
  <si>
    <t>BALL BUSH</t>
    <phoneticPr fontId="2" type="noConversion"/>
  </si>
  <si>
    <t>SMC</t>
    <phoneticPr fontId="2" type="noConversion"/>
  </si>
  <si>
    <t>삼익THK</t>
    <phoneticPr fontId="2" type="noConversion"/>
  </si>
  <si>
    <t>OMRON</t>
    <phoneticPr fontId="2" type="noConversion"/>
  </si>
  <si>
    <t>발루프</t>
    <phoneticPr fontId="2" type="noConversion"/>
  </si>
  <si>
    <t>HMI POST</t>
    <phoneticPr fontId="2" type="noConversion"/>
  </si>
  <si>
    <t>ST 080101</t>
    <phoneticPr fontId="2" type="noConversion"/>
  </si>
  <si>
    <t>DMR-374X</t>
    <phoneticPr fontId="2" type="noConversion"/>
  </si>
  <si>
    <t>2축 직교로보트</t>
    <phoneticPr fontId="2" type="noConversion"/>
  </si>
  <si>
    <t>50Kw</t>
    <phoneticPr fontId="2" type="noConversion"/>
  </si>
  <si>
    <t>GT2-H50</t>
    <phoneticPr fontId="2" type="noConversion"/>
  </si>
  <si>
    <t>코로보</t>
    <phoneticPr fontId="2" type="noConversion"/>
  </si>
  <si>
    <t>코그닉스</t>
    <phoneticPr fontId="2" type="noConversion"/>
  </si>
  <si>
    <t>로보스타</t>
    <phoneticPr fontId="2" type="noConversion"/>
  </si>
  <si>
    <t>듀크린</t>
    <phoneticPr fontId="2" type="noConversion"/>
  </si>
  <si>
    <t>키엔스</t>
    <phoneticPr fontId="2" type="noConversion"/>
  </si>
  <si>
    <t>3축 직교로보트 프레임</t>
    <phoneticPr fontId="2" type="noConversion"/>
  </si>
  <si>
    <t>Duct &amp; Accessary</t>
    <phoneticPr fontId="2" type="noConversion"/>
  </si>
  <si>
    <t>제작품</t>
    <phoneticPr fontId="2" type="noConversion"/>
  </si>
  <si>
    <t>제작품</t>
    <phoneticPr fontId="2" type="noConversion"/>
  </si>
  <si>
    <t>3축 직교로보트</t>
    <phoneticPr fontId="2" type="noConversion"/>
  </si>
  <si>
    <t>스테이터 회전 장치</t>
    <phoneticPr fontId="2" type="noConversion"/>
  </si>
  <si>
    <t>고주파 가열기</t>
    <phoneticPr fontId="2" type="noConversion"/>
  </si>
  <si>
    <t>CO2 자동 소화 장치</t>
    <phoneticPr fontId="2" type="noConversion"/>
  </si>
  <si>
    <t>에어렉스</t>
    <phoneticPr fontId="2" type="noConversion"/>
  </si>
  <si>
    <t>에어컨</t>
    <phoneticPr fontId="2" type="noConversion"/>
  </si>
  <si>
    <t>암실</t>
    <phoneticPr fontId="2" type="noConversion"/>
  </si>
  <si>
    <t>마스터 지그</t>
    <phoneticPr fontId="2" type="noConversion"/>
  </si>
  <si>
    <t>CQ2A100-30DMZ</t>
    <phoneticPr fontId="2" type="noConversion"/>
  </si>
  <si>
    <t>SY7400-5U1</t>
    <phoneticPr fontId="2" type="noConversion"/>
  </si>
  <si>
    <t>LMK40LUU</t>
    <phoneticPr fontId="2" type="noConversion"/>
  </si>
  <si>
    <t>E2E-X2C112-M1TJ-0.3M</t>
    <phoneticPr fontId="2" type="noConversion"/>
  </si>
  <si>
    <t>제작품</t>
    <phoneticPr fontId="2" type="noConversion"/>
  </si>
  <si>
    <t>2축 직교로보트 프레임</t>
    <phoneticPr fontId="2" type="noConversion"/>
  </si>
  <si>
    <t>TURN LIFT &amp; STOPPER UNIT</t>
    <phoneticPr fontId="2" type="noConversion"/>
  </si>
  <si>
    <t>TURN LIFT &amp; STOPPER UNIT</t>
    <phoneticPr fontId="2" type="noConversion"/>
  </si>
  <si>
    <t>PPC</t>
    <phoneticPr fontId="2" type="noConversion"/>
  </si>
  <si>
    <t>어드밴텍</t>
    <phoneticPr fontId="2" type="noConversion"/>
  </si>
  <si>
    <t>BASE FRAME</t>
    <phoneticPr fontId="2" type="noConversion"/>
  </si>
  <si>
    <t>UTC320</t>
    <phoneticPr fontId="2" type="noConversion"/>
  </si>
  <si>
    <t>LI-4278</t>
    <phoneticPr fontId="2" type="noConversion"/>
  </si>
  <si>
    <t>SYMBOL</t>
    <phoneticPr fontId="2" type="noConversion"/>
  </si>
  <si>
    <t>PPC 거치대</t>
    <phoneticPr fontId="2" type="noConversion"/>
  </si>
  <si>
    <t>BIS V 시리즈</t>
    <phoneticPr fontId="2" type="noConversion"/>
  </si>
  <si>
    <t>아마다</t>
    <phoneticPr fontId="2" type="noConversion"/>
  </si>
  <si>
    <t>도어락</t>
    <phoneticPr fontId="2" type="noConversion"/>
  </si>
  <si>
    <t>KEY TYPE</t>
    <phoneticPr fontId="2" type="noConversion"/>
  </si>
  <si>
    <t>제작품</t>
    <phoneticPr fontId="2" type="noConversion"/>
  </si>
  <si>
    <t>제작품</t>
    <phoneticPr fontId="2" type="noConversion"/>
  </si>
  <si>
    <t>레이저 포인터</t>
    <phoneticPr fontId="2" type="noConversion"/>
  </si>
  <si>
    <t>AP-300</t>
    <phoneticPr fontId="2" type="noConversion"/>
  </si>
  <si>
    <t>온도센서 조립지그</t>
    <phoneticPr fontId="2" type="noConversion"/>
  </si>
  <si>
    <t>수량 2배</t>
    <phoneticPr fontId="2" type="noConversion"/>
  </si>
  <si>
    <t>BASE &amp; FRAME</t>
    <phoneticPr fontId="2" type="noConversion"/>
  </si>
  <si>
    <t>1000L</t>
    <phoneticPr fontId="2" type="noConversion"/>
  </si>
  <si>
    <t>부일</t>
    <phoneticPr fontId="2" type="noConversion"/>
  </si>
  <si>
    <t>수동 에폭시건</t>
    <phoneticPr fontId="2" type="noConversion"/>
  </si>
  <si>
    <t>제작품</t>
    <phoneticPr fontId="2" type="noConversion"/>
  </si>
  <si>
    <t>마스터 지그 및 보관함</t>
    <phoneticPr fontId="2" type="noConversion"/>
  </si>
  <si>
    <t>CAS</t>
    <phoneticPr fontId="2" type="noConversion"/>
  </si>
  <si>
    <t>비전 FRAME</t>
    <phoneticPr fontId="2" type="noConversion"/>
  </si>
  <si>
    <t>안전펜스</t>
    <phoneticPr fontId="2" type="noConversion"/>
  </si>
  <si>
    <t>에폭시 FRAME</t>
    <phoneticPr fontId="2" type="noConversion"/>
  </si>
  <si>
    <t>로보트 베이스</t>
    <phoneticPr fontId="2" type="noConversion"/>
  </si>
  <si>
    <t>오이너</t>
    <phoneticPr fontId="2" type="noConversion"/>
  </si>
  <si>
    <t>CBX-32KH</t>
    <phoneticPr fontId="2" type="noConversion"/>
  </si>
  <si>
    <t>고주파 예열 FRAME</t>
    <phoneticPr fontId="2" type="noConversion"/>
  </si>
  <si>
    <t>고주파 시프트 UNIT</t>
    <phoneticPr fontId="2" type="noConversion"/>
  </si>
  <si>
    <t>스테이터 시프트 UNIT</t>
    <phoneticPr fontId="2" type="noConversion"/>
  </si>
  <si>
    <t>바니시 노즐 UNIT</t>
    <phoneticPr fontId="2" type="noConversion"/>
  </si>
  <si>
    <t>HSC-5000A</t>
    <phoneticPr fontId="2" type="noConversion"/>
  </si>
  <si>
    <t>2축 직교로보트 프레임</t>
    <phoneticPr fontId="2" type="noConversion"/>
  </si>
  <si>
    <t>2축 직교로보트</t>
    <phoneticPr fontId="2" type="noConversion"/>
  </si>
  <si>
    <t>200/500</t>
    <phoneticPr fontId="2" type="noConversion"/>
  </si>
  <si>
    <t>1100/600</t>
    <phoneticPr fontId="2" type="noConversion"/>
  </si>
  <si>
    <t>2000/800/700</t>
    <phoneticPr fontId="2" type="noConversion"/>
  </si>
  <si>
    <t>VEX</t>
    <phoneticPr fontId="2" type="noConversion"/>
  </si>
  <si>
    <t>2 PUMP</t>
    <phoneticPr fontId="2" type="noConversion"/>
  </si>
  <si>
    <t>VIPRO</t>
    <phoneticPr fontId="2" type="noConversion"/>
  </si>
  <si>
    <t>고주파 가열 FRAME</t>
    <phoneticPr fontId="2" type="noConversion"/>
  </si>
  <si>
    <t>7.5RT</t>
    <phoneticPr fontId="2" type="noConversion"/>
  </si>
  <si>
    <t>쿨트론</t>
    <phoneticPr fontId="2" type="noConversion"/>
  </si>
  <si>
    <t>15RT</t>
    <phoneticPr fontId="2" type="noConversion"/>
  </si>
  <si>
    <t>오성</t>
    <phoneticPr fontId="2" type="noConversion"/>
  </si>
  <si>
    <t>DISPENSER</t>
    <phoneticPr fontId="2" type="noConversion"/>
  </si>
  <si>
    <t>AD3300C</t>
    <phoneticPr fontId="2" type="noConversion"/>
  </si>
  <si>
    <t>SET</t>
    <phoneticPr fontId="2" type="noConversion"/>
  </si>
  <si>
    <t>300/300/300/300</t>
    <phoneticPr fontId="2" type="noConversion"/>
  </si>
  <si>
    <t>3축 직교로보트 프레임</t>
    <phoneticPr fontId="2" type="noConversion"/>
  </si>
  <si>
    <t>모터 제외</t>
    <phoneticPr fontId="2" type="noConversion"/>
  </si>
  <si>
    <t>퓨징설비 기구부</t>
    <phoneticPr fontId="2" type="noConversion"/>
  </si>
  <si>
    <t>포장,운송</t>
    <phoneticPr fontId="2" type="noConversion"/>
  </si>
  <si>
    <t>해당없음</t>
    <phoneticPr fontId="2" type="noConversion"/>
  </si>
  <si>
    <t>%</t>
    <phoneticPr fontId="2" type="noConversion"/>
  </si>
  <si>
    <t>제어관련 턴키</t>
    <phoneticPr fontId="2" type="noConversion"/>
  </si>
  <si>
    <t>6ES7517-3AP00-0AB0</t>
    <phoneticPr fontId="2" type="noConversion"/>
  </si>
  <si>
    <t>6ES7954-8LP04-0AA0</t>
    <phoneticPr fontId="2" type="noConversion"/>
  </si>
  <si>
    <t>플래쉬 메모리</t>
    <phoneticPr fontId="2" type="noConversion"/>
  </si>
  <si>
    <t>지멘스</t>
    <phoneticPr fontId="2" type="noConversion"/>
  </si>
  <si>
    <t>ETHERNET 통신 모듈</t>
    <phoneticPr fontId="2" type="noConversion"/>
  </si>
  <si>
    <t>6GK7543-1AX00-0XE0</t>
    <phoneticPr fontId="2" type="noConversion"/>
  </si>
  <si>
    <t>마운팅용 레일</t>
    <phoneticPr fontId="2" type="noConversion"/>
  </si>
  <si>
    <t>6ES7590-1AF30-0AA0</t>
    <phoneticPr fontId="2" type="noConversion"/>
  </si>
  <si>
    <t>입,출력 카드</t>
    <phoneticPr fontId="2" type="noConversion"/>
  </si>
  <si>
    <t>6ES7521-1BL10-0AA0</t>
    <phoneticPr fontId="2" type="noConversion"/>
  </si>
  <si>
    <t>6AV2124-0MC01-0AX0</t>
    <phoneticPr fontId="2" type="noConversion"/>
  </si>
  <si>
    <t>ET 200SP 인터페이스 모듈</t>
    <phoneticPr fontId="2" type="noConversion"/>
  </si>
  <si>
    <t>6ES7155-6AU02-0BN0</t>
    <phoneticPr fontId="2" type="noConversion"/>
  </si>
  <si>
    <t>6ES7131-6BH01-0BA0</t>
    <phoneticPr fontId="2" type="noConversion"/>
  </si>
  <si>
    <t>6ES7134-6HB00-0CA1</t>
    <phoneticPr fontId="2" type="noConversion"/>
  </si>
  <si>
    <t>ET 200SP Analog input module</t>
    <phoneticPr fontId="2" type="noConversion"/>
  </si>
  <si>
    <t>ET 200SP I/O module</t>
    <phoneticPr fontId="2" type="noConversion"/>
  </si>
  <si>
    <t>시리얼 통신  module</t>
    <phoneticPr fontId="2" type="noConversion"/>
  </si>
  <si>
    <t>6ES7137-6AA01-0BA0</t>
    <phoneticPr fontId="2" type="noConversion"/>
  </si>
  <si>
    <t>ET 200SP, BaseUnit</t>
    <phoneticPr fontId="2" type="noConversion"/>
  </si>
  <si>
    <t>6ES7193-6BP00-0DA0</t>
    <phoneticPr fontId="2" type="noConversion"/>
  </si>
  <si>
    <t>Servo motor 0.2kw</t>
    <phoneticPr fontId="2" type="noConversion"/>
  </si>
  <si>
    <t>1FL6032-2AF21-1LA1</t>
    <phoneticPr fontId="2" type="noConversion"/>
  </si>
  <si>
    <t>Servo motor 0.4kw</t>
    <phoneticPr fontId="2" type="noConversion"/>
  </si>
  <si>
    <t>1FL6034-2AF21-1LA1</t>
    <phoneticPr fontId="2" type="noConversion"/>
  </si>
  <si>
    <t>Servo motor 0.75kw</t>
    <phoneticPr fontId="2" type="noConversion"/>
  </si>
  <si>
    <t>1FL6044-1AF61-2LA1</t>
    <phoneticPr fontId="2" type="noConversion"/>
  </si>
  <si>
    <t>Main Pannel</t>
    <phoneticPr fontId="2" type="noConversion"/>
  </si>
  <si>
    <t>Operation Pannel</t>
    <phoneticPr fontId="2" type="noConversion"/>
  </si>
  <si>
    <t>Remote box</t>
    <phoneticPr fontId="2" type="noConversion"/>
  </si>
  <si>
    <t>Terminal Box</t>
    <phoneticPr fontId="2" type="noConversion"/>
  </si>
  <si>
    <t>Duct</t>
  </si>
  <si>
    <t>AP-ES340</t>
    <phoneticPr fontId="2" type="noConversion"/>
  </si>
  <si>
    <t>에어메이저</t>
    <phoneticPr fontId="2" type="noConversion"/>
  </si>
  <si>
    <t>경비</t>
    <phoneticPr fontId="2" type="noConversion"/>
  </si>
  <si>
    <t>왕복항공료</t>
    <phoneticPr fontId="2" type="noConversion"/>
  </si>
  <si>
    <t>해외출장비</t>
    <phoneticPr fontId="2" type="noConversion"/>
  </si>
  <si>
    <t>현지설치공사</t>
    <phoneticPr fontId="2" type="noConversion"/>
  </si>
  <si>
    <t>기계설치</t>
    <phoneticPr fontId="2" type="noConversion"/>
  </si>
  <si>
    <t>제어설치(배선)</t>
    <phoneticPr fontId="2" type="noConversion"/>
  </si>
  <si>
    <t>제어 시운전</t>
    <phoneticPr fontId="2" type="noConversion"/>
  </si>
  <si>
    <t>기계 이벤트/양산대응</t>
    <phoneticPr fontId="2" type="noConversion"/>
  </si>
  <si>
    <t>제어 이벤트/양산대응</t>
    <phoneticPr fontId="2" type="noConversion"/>
  </si>
  <si>
    <t>현지설치</t>
    <phoneticPr fontId="2" type="noConversion"/>
  </si>
  <si>
    <t>기타 컴포넌트 인원</t>
    <phoneticPr fontId="2" type="noConversion"/>
  </si>
  <si>
    <t>3~8항 합계</t>
    <phoneticPr fontId="2" type="noConversion"/>
  </si>
  <si>
    <t>영테크</t>
    <phoneticPr fontId="2" type="noConversion"/>
  </si>
  <si>
    <t>AIR COMBINATION</t>
  </si>
  <si>
    <t>AC40D-06G-A</t>
  </si>
  <si>
    <t>AY</t>
    <phoneticPr fontId="2" type="noConversion"/>
  </si>
  <si>
    <t>MANIFOLD</t>
  </si>
  <si>
    <t>SS5Y7-10S0-10B-C8-NA</t>
  </si>
  <si>
    <t>AIR REGULATOR</t>
  </si>
  <si>
    <t>AR40-06BG-A</t>
  </si>
  <si>
    <t>SOLENOID VALVE</t>
  </si>
  <si>
    <t>SY7200-5U1-NA</t>
  </si>
  <si>
    <t>SPEED CONTROL V/V</t>
  </si>
  <si>
    <t>AS3201F-03-08W2</t>
  </si>
  <si>
    <t>블랭킹플래이트</t>
  </si>
  <si>
    <t>SY70M-26-2A-NA</t>
  </si>
  <si>
    <t>에어호스</t>
    <phoneticPr fontId="2" type="noConversion"/>
  </si>
  <si>
    <t>TU0604B-100</t>
    <phoneticPr fontId="2" type="noConversion"/>
  </si>
  <si>
    <t>에폭시 경화/냉각 및 온도센서 탈거</t>
    <phoneticPr fontId="2" type="noConversion"/>
  </si>
  <si>
    <t>마그넷 제거 슈드 외</t>
    <phoneticPr fontId="2" type="noConversion"/>
  </si>
  <si>
    <t>POWER INTERFACE</t>
  </si>
  <si>
    <t>EX260-SPN1</t>
  </si>
  <si>
    <t>SS5Y7-10S0-06B-C8-NA</t>
  </si>
  <si>
    <t>SY7400-5U1-NA</t>
  </si>
  <si>
    <t>RELIEF VALVE</t>
  </si>
  <si>
    <t>VHS40-04-D</t>
  </si>
  <si>
    <t>FILTER/REGULATOR</t>
  </si>
  <si>
    <t>AW40-04D-D</t>
  </si>
  <si>
    <t>SOFT START UP V/V</t>
  </si>
  <si>
    <t>AV4000-04-5DZ</t>
  </si>
  <si>
    <t>PRESSURE SWITCH</t>
  </si>
  <si>
    <t>ISE20A-Y-01-J-X505</t>
  </si>
  <si>
    <t>EXHAUST CLEANER</t>
  </si>
  <si>
    <t>AMC520-04BD</t>
  </si>
  <si>
    <t>AIR CYLINDER</t>
  </si>
  <si>
    <t>RS2H80-40BM</t>
    <phoneticPr fontId="2" type="noConversion"/>
  </si>
  <si>
    <t>CQ2A80-30DMZ</t>
  </si>
  <si>
    <t>직교로보트 프레임</t>
    <phoneticPr fontId="2" type="noConversion"/>
  </si>
  <si>
    <t>LG</t>
    <phoneticPr fontId="2" type="noConversion"/>
  </si>
  <si>
    <t>200리터</t>
    <phoneticPr fontId="2" type="noConversion"/>
  </si>
  <si>
    <t>직교로봇</t>
    <phoneticPr fontId="2" type="noConversion"/>
  </si>
  <si>
    <t>RS-120/800*400*150</t>
    <phoneticPr fontId="2" type="noConversion"/>
  </si>
  <si>
    <t>인터넷</t>
    <phoneticPr fontId="2" type="noConversion"/>
  </si>
  <si>
    <t>코킹 &amp; 컷팅기 기구부</t>
    <phoneticPr fontId="2" type="noConversion"/>
  </si>
  <si>
    <t>위드텍</t>
    <phoneticPr fontId="2" type="noConversion"/>
  </si>
  <si>
    <t>3. 수출조건 FOB</t>
    <phoneticPr fontId="2" type="noConversion"/>
  </si>
  <si>
    <t>4. 현지 설치 도비 견적 제외</t>
    <phoneticPr fontId="2" type="noConversion"/>
  </si>
  <si>
    <t>주식회사 화인</t>
    <phoneticPr fontId="2" type="noConversion"/>
  </si>
  <si>
    <t>공사명</t>
    <phoneticPr fontId="2" type="noConversion"/>
  </si>
  <si>
    <t>대표 : 이상준</t>
  </si>
  <si>
    <t>주소 : 부산 강서구 화전산단6로 60</t>
  </si>
  <si>
    <t>전화: 051-262-1237</t>
  </si>
  <si>
    <t>Fax: 051-262-1278</t>
  </si>
  <si>
    <t xml:space="preserve">견적담당: </t>
  </si>
  <si>
    <t>FA영업팀 이형수</t>
  </si>
  <si>
    <t>010-5150-6542</t>
  </si>
  <si>
    <t>온도센서 조립 및 에폭시 도포</t>
    <phoneticPr fontId="2" type="noConversion"/>
  </si>
  <si>
    <t>부산항  FOB</t>
    <phoneticPr fontId="2" type="noConversion"/>
  </si>
  <si>
    <t>현대트랜시스 멕시코 TMED-II 모터 후처리라인 증설 PJT件_함침라인(턴키)</t>
    <phoneticPr fontId="2" type="noConversion"/>
  </si>
  <si>
    <t>ES25-094M-L</t>
    <phoneticPr fontId="2" type="noConversion"/>
  </si>
  <si>
    <t>견적 합계</t>
    <phoneticPr fontId="2" type="noConversion"/>
  </si>
  <si>
    <t>현대위아 貴下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</si>
</sst>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#,##0_);[Red]\(#,##0\)"/>
    <numFmt numFmtId="179" formatCode="General&quot;상세견적&quot;"/>
    <numFmt numFmtId="180" formatCode="0.0\K\G"/>
    <numFmt numFmtId="181" formatCode="0_);[Red]\(0\)"/>
    <numFmt numFmtId="182" formatCode="#,##0.0_ "/>
    <numFmt numFmtId="183" formatCode="0.0_);[Red]\(0.0\)"/>
    <numFmt numFmtId="184" formatCode="&quot;₩&quot;#,##0_);[Red]\(&quot;₩&quot;#,##0\)"/>
  </numFmts>
  <fonts count="30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1"/>
      <name val="휴먼태각진그래픽"/>
      <family val="1"/>
      <charset val="129"/>
    </font>
    <font>
      <sz val="14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533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0" fillId="2" borderId="6" xfId="0" applyNumberForma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5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1" fillId="0" borderId="24" xfId="0" applyNumberFormat="1" applyFont="1" applyBorder="1" applyAlignment="1">
      <alignment horizontal="right" vertical="center"/>
    </xf>
    <xf numFmtId="176" fontId="1" fillId="0" borderId="25" xfId="0" applyNumberFormat="1" applyFont="1" applyBorder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176" fontId="1" fillId="0" borderId="6" xfId="0" applyNumberFormat="1" applyFont="1" applyBorder="1" applyAlignment="1">
      <alignment horizontal="right" vertical="center"/>
    </xf>
    <xf numFmtId="176" fontId="1" fillId="0" borderId="30" xfId="0" applyNumberFormat="1" applyFont="1" applyBorder="1" applyAlignment="1">
      <alignment horizontal="right" vertical="center"/>
    </xf>
    <xf numFmtId="0" fontId="0" fillId="0" borderId="26" xfId="0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76" fontId="1" fillId="0" borderId="37" xfId="0" applyNumberFormat="1" applyFont="1" applyBorder="1" applyAlignment="1">
      <alignment vertical="center"/>
    </xf>
    <xf numFmtId="176" fontId="1" fillId="0" borderId="38" xfId="0" applyNumberFormat="1" applyFont="1" applyBorder="1" applyAlignment="1">
      <alignment vertical="center"/>
    </xf>
    <xf numFmtId="176" fontId="13" fillId="4" borderId="36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76" fontId="1" fillId="0" borderId="39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3" fontId="15" fillId="0" borderId="0" xfId="0" applyNumberFormat="1" applyFont="1" applyAlignment="1">
      <alignment vertical="center"/>
    </xf>
    <xf numFmtId="3" fontId="16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vertical="center"/>
    </xf>
    <xf numFmtId="4" fontId="19" fillId="0" borderId="0" xfId="0" applyNumberFormat="1" applyFont="1" applyAlignment="1">
      <alignment vertical="center"/>
    </xf>
    <xf numFmtId="3" fontId="19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50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/>
    </xf>
    <xf numFmtId="178" fontId="1" fillId="0" borderId="53" xfId="0" applyNumberFormat="1" applyFont="1" applyBorder="1" applyAlignment="1">
      <alignment horizontal="center" vertical="center"/>
    </xf>
    <xf numFmtId="3" fontId="1" fillId="0" borderId="54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55" xfId="0" applyNumberFormat="1" applyFont="1" applyBorder="1" applyAlignment="1">
      <alignment horizontal="center" vertical="center"/>
    </xf>
    <xf numFmtId="3" fontId="1" fillId="0" borderId="59" xfId="0" applyNumberFormat="1" applyFont="1" applyBorder="1" applyAlignment="1">
      <alignment horizontal="center" vertical="center"/>
    </xf>
    <xf numFmtId="178" fontId="1" fillId="0" borderId="59" xfId="0" applyNumberFormat="1" applyFont="1" applyBorder="1" applyAlignment="1">
      <alignment horizontal="center" vertical="center"/>
    </xf>
    <xf numFmtId="3" fontId="1" fillId="0" borderId="60" xfId="0" applyNumberFormat="1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3" fontId="14" fillId="0" borderId="62" xfId="0" applyNumberFormat="1" applyFont="1" applyBorder="1" applyAlignment="1">
      <alignment horizontal="center" vertical="center"/>
    </xf>
    <xf numFmtId="178" fontId="1" fillId="0" borderId="62" xfId="0" applyNumberFormat="1" applyFont="1" applyBorder="1" applyAlignment="1">
      <alignment horizontal="right" vertical="center"/>
    </xf>
    <xf numFmtId="178" fontId="1" fillId="0" borderId="62" xfId="0" applyNumberFormat="1" applyFont="1" applyBorder="1" applyAlignment="1">
      <alignment vertical="center"/>
    </xf>
    <xf numFmtId="3" fontId="1" fillId="0" borderId="63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horizontal="center" vertical="center"/>
    </xf>
    <xf numFmtId="3" fontId="14" fillId="0" borderId="6" xfId="0" applyNumberFormat="1" applyFont="1" applyBorder="1" applyAlignment="1">
      <alignment horizontal="center" vertical="center"/>
    </xf>
    <xf numFmtId="178" fontId="1" fillId="0" borderId="6" xfId="2" applyNumberFormat="1" applyFont="1" applyFill="1" applyBorder="1" applyAlignment="1">
      <alignment horizontal="right" vertical="center"/>
    </xf>
    <xf numFmtId="178" fontId="1" fillId="0" borderId="6" xfId="0" applyNumberFormat="1" applyFont="1" applyBorder="1" applyAlignment="1">
      <alignment vertical="center"/>
    </xf>
    <xf numFmtId="3" fontId="1" fillId="0" borderId="30" xfId="0" applyNumberFormat="1" applyFont="1" applyBorder="1" applyAlignment="1">
      <alignment vertical="center"/>
    </xf>
    <xf numFmtId="178" fontId="1" fillId="0" borderId="6" xfId="0" applyNumberFormat="1" applyFont="1" applyBorder="1" applyAlignment="1">
      <alignment horizontal="right" vertical="center"/>
    </xf>
    <xf numFmtId="3" fontId="0" fillId="5" borderId="6" xfId="0" applyNumberFormat="1" applyFill="1" applyBorder="1" applyAlignment="1">
      <alignment horizontal="center" vertical="center"/>
    </xf>
    <xf numFmtId="3" fontId="14" fillId="5" borderId="6" xfId="0" applyNumberFormat="1" applyFont="1" applyFill="1" applyBorder="1" applyAlignment="1">
      <alignment horizontal="center" vertical="center"/>
    </xf>
    <xf numFmtId="178" fontId="1" fillId="5" borderId="6" xfId="0" applyNumberFormat="1" applyFont="1" applyFill="1" applyBorder="1" applyAlignment="1">
      <alignment horizontal="right" vertical="center"/>
    </xf>
    <xf numFmtId="178" fontId="1" fillId="5" borderId="6" xfId="0" applyNumberFormat="1" applyFont="1" applyFill="1" applyBorder="1" applyAlignment="1">
      <alignment vertical="center"/>
    </xf>
    <xf numFmtId="3" fontId="0" fillId="0" borderId="30" xfId="0" applyNumberFormat="1" applyBorder="1" applyAlignment="1">
      <alignment vertical="center"/>
    </xf>
    <xf numFmtId="3" fontId="1" fillId="0" borderId="64" xfId="0" applyNumberFormat="1" applyFont="1" applyBorder="1" applyAlignment="1">
      <alignment horizontal="center" vertical="center"/>
    </xf>
    <xf numFmtId="178" fontId="5" fillId="0" borderId="6" xfId="0" applyNumberFormat="1" applyFont="1" applyBorder="1" applyAlignment="1">
      <alignment vertical="center"/>
    </xf>
    <xf numFmtId="3" fontId="1" fillId="5" borderId="6" xfId="0" applyNumberFormat="1" applyFont="1" applyFill="1" applyBorder="1" applyAlignment="1">
      <alignment horizontal="center" vertical="center"/>
    </xf>
    <xf numFmtId="3" fontId="1" fillId="0" borderId="4" xfId="0" applyNumberFormat="1" applyFont="1" applyBorder="1" applyAlignment="1">
      <alignment horizontal="left" vertical="center"/>
    </xf>
    <xf numFmtId="3" fontId="1" fillId="0" borderId="3" xfId="0" applyNumberFormat="1" applyFont="1" applyBorder="1" applyAlignment="1">
      <alignment horizontal="center" vertical="center"/>
    </xf>
    <xf numFmtId="178" fontId="5" fillId="0" borderId="19" xfId="0" applyNumberFormat="1" applyFont="1" applyBorder="1" applyAlignment="1">
      <alignment vertical="center"/>
    </xf>
    <xf numFmtId="3" fontId="1" fillId="0" borderId="65" xfId="0" applyNumberFormat="1" applyFont="1" applyBorder="1" applyAlignment="1">
      <alignment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68" xfId="0" applyNumberFormat="1" applyFont="1" applyBorder="1" applyAlignment="1">
      <alignment horizontal="center" vertical="center"/>
    </xf>
    <xf numFmtId="178" fontId="5" fillId="0" borderId="32" xfId="0" applyNumberFormat="1" applyFont="1" applyBorder="1" applyAlignment="1">
      <alignment vertical="center"/>
    </xf>
    <xf numFmtId="3" fontId="1" fillId="0" borderId="69" xfId="0" applyNumberFormat="1" applyFont="1" applyBorder="1" applyAlignment="1">
      <alignment vertical="center"/>
    </xf>
    <xf numFmtId="3" fontId="1" fillId="0" borderId="24" xfId="0" applyNumberFormat="1" applyFont="1" applyBorder="1" applyAlignment="1">
      <alignment horizontal="center" vertical="center"/>
    </xf>
    <xf numFmtId="3" fontId="14" fillId="0" borderId="24" xfId="0" applyNumberFormat="1" applyFont="1" applyBorder="1" applyAlignment="1">
      <alignment horizontal="center" vertical="center"/>
    </xf>
    <xf numFmtId="178" fontId="1" fillId="0" borderId="24" xfId="0" applyNumberFormat="1" applyFont="1" applyBorder="1" applyAlignment="1">
      <alignment vertical="center"/>
    </xf>
    <xf numFmtId="3" fontId="1" fillId="0" borderId="25" xfId="0" applyNumberFormat="1" applyFont="1" applyBorder="1" applyAlignment="1">
      <alignment vertical="center"/>
    </xf>
    <xf numFmtId="3" fontId="14" fillId="5" borderId="62" xfId="0" applyNumberFormat="1" applyFont="1" applyFill="1" applyBorder="1" applyAlignment="1">
      <alignment horizontal="center" vertical="center"/>
    </xf>
    <xf numFmtId="178" fontId="1" fillId="5" borderId="62" xfId="0" applyNumberFormat="1" applyFont="1" applyFill="1" applyBorder="1" applyAlignment="1">
      <alignment vertical="center"/>
    </xf>
    <xf numFmtId="178" fontId="5" fillId="0" borderId="24" xfId="0" applyNumberFormat="1" applyFont="1" applyBorder="1" applyAlignment="1">
      <alignment vertical="center"/>
    </xf>
    <xf numFmtId="178" fontId="5" fillId="0" borderId="76" xfId="0" applyNumberFormat="1" applyFont="1" applyBorder="1" applyAlignment="1">
      <alignment vertical="center"/>
    </xf>
    <xf numFmtId="3" fontId="1" fillId="0" borderId="77" xfId="0" applyNumberFormat="1" applyFont="1" applyBorder="1" applyAlignment="1">
      <alignment vertical="center"/>
    </xf>
    <xf numFmtId="3" fontId="1" fillId="0" borderId="78" xfId="0" applyNumberFormat="1" applyFont="1" applyBorder="1" applyAlignment="1">
      <alignment horizontal="center" vertical="center"/>
    </xf>
    <xf numFmtId="178" fontId="5" fillId="4" borderId="82" xfId="0" applyNumberFormat="1" applyFont="1" applyFill="1" applyBorder="1" applyAlignment="1">
      <alignment vertical="center"/>
    </xf>
    <xf numFmtId="3" fontId="1" fillId="0" borderId="29" xfId="0" applyNumberFormat="1" applyFont="1" applyBorder="1" applyAlignment="1">
      <alignment horizontal="center" vertical="center"/>
    </xf>
    <xf numFmtId="178" fontId="5" fillId="0" borderId="62" xfId="0" applyNumberFormat="1" applyFont="1" applyBorder="1" applyAlignment="1">
      <alignment vertical="center"/>
    </xf>
    <xf numFmtId="3" fontId="14" fillId="5" borderId="30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18" xfId="0" applyNumberFormat="1" applyFont="1" applyBorder="1" applyAlignment="1">
      <alignment horizontal="center" vertical="center"/>
    </xf>
    <xf numFmtId="3" fontId="1" fillId="0" borderId="84" xfId="0" applyNumberFormat="1" applyFont="1" applyBorder="1" applyAlignment="1">
      <alignment horizontal="left" vertical="center"/>
    </xf>
    <xf numFmtId="178" fontId="5" fillId="0" borderId="86" xfId="0" applyNumberFormat="1" applyFont="1" applyBorder="1" applyAlignment="1">
      <alignment vertical="center"/>
    </xf>
    <xf numFmtId="3" fontId="1" fillId="0" borderId="88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178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vertical="center"/>
    </xf>
    <xf numFmtId="3" fontId="0" fillId="5" borderId="6" xfId="0" applyNumberFormat="1" applyFill="1" applyBorder="1" applyAlignment="1">
      <alignment vertical="center"/>
    </xf>
    <xf numFmtId="178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176" fontId="0" fillId="0" borderId="97" xfId="0" applyNumberFormat="1" applyBorder="1" applyAlignment="1">
      <alignment horizontal="center" vertical="center"/>
    </xf>
    <xf numFmtId="176" fontId="0" fillId="0" borderId="97" xfId="0" applyNumberFormat="1" applyBorder="1" applyAlignment="1">
      <alignment horizontal="left" vertical="center"/>
    </xf>
    <xf numFmtId="176" fontId="21" fillId="0" borderId="98" xfId="0" applyNumberFormat="1" applyFont="1" applyBorder="1" applyAlignment="1">
      <alignment vertical="center"/>
    </xf>
    <xf numFmtId="176" fontId="21" fillId="0" borderId="99" xfId="0" applyNumberFormat="1" applyFont="1" applyBorder="1" applyAlignment="1">
      <alignment vertical="center"/>
    </xf>
    <xf numFmtId="176" fontId="21" fillId="0" borderId="100" xfId="0" applyNumberFormat="1" applyFont="1" applyBorder="1" applyAlignment="1">
      <alignment vertical="center"/>
    </xf>
    <xf numFmtId="176" fontId="1" fillId="0" borderId="101" xfId="0" applyNumberFormat="1" applyFont="1" applyBorder="1" applyAlignment="1">
      <alignment vertical="center"/>
    </xf>
    <xf numFmtId="176" fontId="1" fillId="0" borderId="99" xfId="0" applyNumberFormat="1" applyFont="1" applyBorder="1" applyAlignment="1">
      <alignment vertical="center"/>
    </xf>
    <xf numFmtId="176" fontId="0" fillId="0" borderId="102" xfId="0" applyNumberFormat="1" applyBorder="1" applyAlignment="1">
      <alignment vertical="center"/>
    </xf>
    <xf numFmtId="176" fontId="0" fillId="0" borderId="103" xfId="0" applyNumberFormat="1" applyBorder="1" applyAlignment="1">
      <alignment vertical="center"/>
    </xf>
    <xf numFmtId="176" fontId="0" fillId="0" borderId="104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26" xfId="0" applyNumberFormat="1" applyBorder="1" applyAlignment="1">
      <alignment horizontal="center" vertical="center"/>
    </xf>
    <xf numFmtId="176" fontId="0" fillId="0" borderId="26" xfId="0" applyNumberFormat="1" applyBorder="1" applyAlignment="1">
      <alignment horizontal="left" vertical="center"/>
    </xf>
    <xf numFmtId="176" fontId="21" fillId="0" borderId="29" xfId="0" applyNumberFormat="1" applyFont="1" applyBorder="1" applyAlignment="1">
      <alignment vertical="center"/>
    </xf>
    <xf numFmtId="176" fontId="21" fillId="0" borderId="6" xfId="0" applyNumberFormat="1" applyFont="1" applyBorder="1" applyAlignment="1">
      <alignment vertical="center"/>
    </xf>
    <xf numFmtId="176" fontId="21" fillId="0" borderId="30" xfId="0" applyNumberFormat="1" applyFont="1" applyBorder="1" applyAlignment="1">
      <alignment vertical="center"/>
    </xf>
    <xf numFmtId="176" fontId="1" fillId="0" borderId="64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0" fillId="0" borderId="105" xfId="0" applyNumberFormat="1" applyBorder="1" applyAlignment="1">
      <alignment vertical="center"/>
    </xf>
    <xf numFmtId="176" fontId="0" fillId="0" borderId="106" xfId="0" applyNumberFormat="1" applyBorder="1" applyAlignment="1">
      <alignment vertical="center"/>
    </xf>
    <xf numFmtId="176" fontId="0" fillId="0" borderId="28" xfId="0" applyNumberFormat="1" applyBorder="1" applyAlignment="1">
      <alignment vertical="center"/>
    </xf>
    <xf numFmtId="176" fontId="0" fillId="0" borderId="49" xfId="0" applyNumberFormat="1" applyBorder="1" applyAlignment="1">
      <alignment vertical="center"/>
    </xf>
    <xf numFmtId="176" fontId="21" fillId="0" borderId="50" xfId="0" applyNumberFormat="1" applyFont="1" applyBorder="1" applyAlignment="1">
      <alignment vertical="center"/>
    </xf>
    <xf numFmtId="176" fontId="21" fillId="0" borderId="53" xfId="0" applyNumberFormat="1" applyFont="1" applyBorder="1" applyAlignment="1">
      <alignment vertical="center"/>
    </xf>
    <xf numFmtId="176" fontId="21" fillId="0" borderId="54" xfId="0" applyNumberFormat="1" applyFont="1" applyBorder="1" applyAlignment="1">
      <alignment vertical="center"/>
    </xf>
    <xf numFmtId="176" fontId="5" fillId="0" borderId="53" xfId="0" applyNumberFormat="1" applyFont="1" applyBorder="1" applyAlignment="1">
      <alignment vertical="center"/>
    </xf>
    <xf numFmtId="176" fontId="5" fillId="0" borderId="89" xfId="0" applyNumberFormat="1" applyFont="1" applyBorder="1" applyAlignment="1">
      <alignment vertical="center"/>
    </xf>
    <xf numFmtId="176" fontId="5" fillId="0" borderId="107" xfId="0" applyNumberFormat="1" applyFont="1" applyBorder="1" applyAlignment="1">
      <alignment vertical="center"/>
    </xf>
    <xf numFmtId="176" fontId="0" fillId="0" borderId="14" xfId="0" applyNumberFormat="1" applyBorder="1" applyAlignment="1">
      <alignment vertical="center"/>
    </xf>
    <xf numFmtId="176" fontId="14" fillId="0" borderId="44" xfId="0" applyNumberFormat="1" applyFont="1" applyBorder="1" applyAlignment="1">
      <alignment horizontal="center" vertical="center"/>
    </xf>
    <xf numFmtId="176" fontId="14" fillId="0" borderId="45" xfId="0" applyNumberFormat="1" applyFont="1" applyBorder="1" applyAlignment="1">
      <alignment horizontal="center" vertical="center"/>
    </xf>
    <xf numFmtId="176" fontId="14" fillId="0" borderId="46" xfId="0" applyNumberFormat="1" applyFont="1" applyBorder="1" applyAlignment="1">
      <alignment horizontal="center" vertical="center"/>
    </xf>
    <xf numFmtId="9" fontId="22" fillId="0" borderId="66" xfId="2" applyFont="1" applyBorder="1" applyAlignment="1">
      <alignment vertical="center"/>
    </xf>
    <xf numFmtId="9" fontId="22" fillId="0" borderId="108" xfId="2" applyFont="1" applyBorder="1" applyAlignment="1">
      <alignment vertical="center"/>
    </xf>
    <xf numFmtId="9" fontId="22" fillId="0" borderId="109" xfId="2" applyFont="1" applyBorder="1" applyAlignment="1">
      <alignment vertical="center"/>
    </xf>
    <xf numFmtId="9" fontId="14" fillId="0" borderId="110" xfId="2" applyFont="1" applyBorder="1" applyAlignment="1">
      <alignment vertical="center"/>
    </xf>
    <xf numFmtId="9" fontId="14" fillId="0" borderId="108" xfId="2" applyFont="1" applyFill="1" applyBorder="1" applyAlignment="1">
      <alignment vertical="center"/>
    </xf>
    <xf numFmtId="9" fontId="14" fillId="0" borderId="108" xfId="2" applyFont="1" applyBorder="1" applyAlignment="1">
      <alignment vertical="center"/>
    </xf>
    <xf numFmtId="9" fontId="14" fillId="0" borderId="111" xfId="2" applyFont="1" applyBorder="1" applyAlignment="1">
      <alignment vertical="center"/>
    </xf>
    <xf numFmtId="9" fontId="14" fillId="0" borderId="112" xfId="2" applyFont="1" applyBorder="1" applyAlignment="1">
      <alignment vertical="center"/>
    </xf>
    <xf numFmtId="176" fontId="14" fillId="0" borderId="46" xfId="0" applyNumberFormat="1" applyFont="1" applyBorder="1" applyAlignment="1">
      <alignment vertical="center"/>
    </xf>
    <xf numFmtId="176" fontId="14" fillId="0" borderId="0" xfId="0" applyNumberFormat="1" applyFont="1" applyAlignmen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1" applyFont="1" applyAlignment="1">
      <alignment vertical="center"/>
    </xf>
    <xf numFmtId="178" fontId="24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/>
    </xf>
    <xf numFmtId="179" fontId="25" fillId="0" borderId="45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2" borderId="113" xfId="0" applyFill="1" applyBorder="1" applyAlignment="1">
      <alignment vertical="center"/>
    </xf>
    <xf numFmtId="0" fontId="0" fillId="2" borderId="113" xfId="0" applyFill="1" applyBorder="1" applyAlignment="1">
      <alignment horizontal="center" vertical="center"/>
    </xf>
    <xf numFmtId="176" fontId="0" fillId="2" borderId="113" xfId="0" applyNumberFormat="1" applyFill="1" applyBorder="1" applyAlignment="1">
      <alignment horizontal="center" vertical="center"/>
    </xf>
    <xf numFmtId="176" fontId="0" fillId="2" borderId="113" xfId="0" applyNumberFormat="1" applyFill="1" applyBorder="1" applyAlignment="1">
      <alignment vertical="center"/>
    </xf>
    <xf numFmtId="176" fontId="0" fillId="0" borderId="83" xfId="0" applyNumberFormat="1" applyBorder="1" applyAlignment="1">
      <alignment vertical="center"/>
    </xf>
    <xf numFmtId="0" fontId="0" fillId="0" borderId="113" xfId="0" applyBorder="1" applyAlignment="1">
      <alignment vertical="center"/>
    </xf>
    <xf numFmtId="0" fontId="0" fillId="2" borderId="26" xfId="0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176" fontId="0" fillId="2" borderId="26" xfId="0" applyNumberFormat="1" applyFill="1" applyBorder="1" applyAlignment="1">
      <alignment horizontal="center" vertical="center"/>
    </xf>
    <xf numFmtId="176" fontId="0" fillId="2" borderId="26" xfId="0" applyNumberFormat="1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0" fillId="2" borderId="33" xfId="0" applyFill="1" applyBorder="1" applyAlignment="1">
      <alignment horizontal="center" vertical="center"/>
    </xf>
    <xf numFmtId="176" fontId="0" fillId="2" borderId="33" xfId="0" applyNumberFormat="1" applyFill="1" applyBorder="1" applyAlignment="1">
      <alignment horizontal="center" vertical="center"/>
    </xf>
    <xf numFmtId="176" fontId="0" fillId="2" borderId="33" xfId="0" applyNumberFormat="1" applyFill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3" xfId="0" applyBorder="1" applyAlignment="1">
      <alignment vertical="center"/>
    </xf>
    <xf numFmtId="176" fontId="0" fillId="0" borderId="43" xfId="0" applyNumberFormat="1" applyBorder="1" applyAlignment="1">
      <alignment horizontal="center" vertical="center"/>
    </xf>
    <xf numFmtId="176" fontId="0" fillId="0" borderId="43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6" borderId="13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0" xfId="0" applyFill="1" applyBorder="1" applyAlignment="1">
      <alignment horizontal="center" vertical="center"/>
    </xf>
    <xf numFmtId="176" fontId="0" fillId="2" borderId="20" xfId="0" applyNumberFormat="1" applyFill="1" applyBorder="1" applyAlignment="1">
      <alignment horizontal="center" vertical="center"/>
    </xf>
    <xf numFmtId="176" fontId="0" fillId="2" borderId="20" xfId="0" applyNumberFormat="1" applyFill="1" applyBorder="1" applyAlignment="1">
      <alignment vertical="center"/>
    </xf>
    <xf numFmtId="176" fontId="0" fillId="0" borderId="22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0" fontId="0" fillId="6" borderId="16" xfId="0" applyFill="1" applyBorder="1" applyAlignment="1">
      <alignment vertical="center"/>
    </xf>
    <xf numFmtId="0" fontId="0" fillId="2" borderId="114" xfId="0" applyFill="1" applyBorder="1" applyAlignment="1">
      <alignment vertical="center"/>
    </xf>
    <xf numFmtId="176" fontId="0" fillId="2" borderId="114" xfId="0" applyNumberFormat="1" applyFill="1" applyBorder="1" applyAlignment="1">
      <alignment horizontal="center" vertical="center"/>
    </xf>
    <xf numFmtId="176" fontId="0" fillId="2" borderId="114" xfId="0" applyNumberFormat="1" applyFill="1" applyBorder="1" applyAlignment="1">
      <alignment vertical="center"/>
    </xf>
    <xf numFmtId="176" fontId="0" fillId="0" borderId="115" xfId="0" applyNumberFormat="1" applyBorder="1" applyAlignment="1">
      <alignment vertical="center"/>
    </xf>
    <xf numFmtId="0" fontId="0" fillId="0" borderId="114" xfId="0" applyBorder="1" applyAlignment="1">
      <alignment vertical="center"/>
    </xf>
    <xf numFmtId="0" fontId="0" fillId="7" borderId="36" xfId="0" applyFill="1" applyBorder="1" applyAlignment="1">
      <alignment vertical="center"/>
    </xf>
    <xf numFmtId="0" fontId="1" fillId="7" borderId="12" xfId="0" applyFont="1" applyFill="1" applyBorder="1" applyAlignment="1">
      <alignment vertical="center"/>
    </xf>
    <xf numFmtId="0" fontId="0" fillId="7" borderId="12" xfId="0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vertical="center"/>
    </xf>
    <xf numFmtId="176" fontId="0" fillId="7" borderId="36" xfId="0" applyNumberFormat="1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5" xfId="0" applyNumberForma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2" borderId="15" xfId="0" applyNumberFormat="1" applyFill="1" applyBorder="1" applyAlignment="1">
      <alignment vertical="center"/>
    </xf>
    <xf numFmtId="176" fontId="0" fillId="0" borderId="36" xfId="0" applyNumberForma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12" xfId="0" applyBorder="1" applyAlignment="1">
      <alignment horizontal="right" vertical="center"/>
    </xf>
    <xf numFmtId="176" fontId="0" fillId="0" borderId="34" xfId="0" applyNumberFormat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79" fontId="8" fillId="2" borderId="45" xfId="0" applyNumberFormat="1" applyFont="1" applyFill="1" applyBorder="1" applyAlignment="1">
      <alignment vertical="center"/>
    </xf>
    <xf numFmtId="176" fontId="2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0" fontId="0" fillId="3" borderId="26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3" borderId="40" xfId="0" applyFill="1" applyBorder="1" applyAlignment="1">
      <alignment horizontal="center" vertical="center"/>
    </xf>
    <xf numFmtId="0" fontId="0" fillId="3" borderId="26" xfId="0" applyFill="1" applyBorder="1" applyAlignment="1">
      <alignment vertical="center"/>
    </xf>
    <xf numFmtId="176" fontId="0" fillId="3" borderId="26" xfId="0" applyNumberFormat="1" applyFill="1" applyBorder="1" applyAlignment="1">
      <alignment horizontal="center" vertical="center"/>
    </xf>
    <xf numFmtId="176" fontId="0" fillId="3" borderId="26" xfId="0" applyNumberFormat="1" applyFill="1" applyBorder="1" applyAlignment="1">
      <alignment vertical="center"/>
    </xf>
    <xf numFmtId="180" fontId="0" fillId="0" borderId="43" xfId="0" applyNumberFormat="1" applyBorder="1" applyAlignment="1">
      <alignment vertical="center"/>
    </xf>
    <xf numFmtId="181" fontId="0" fillId="3" borderId="2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82" fontId="0" fillId="2" borderId="12" xfId="0" applyNumberFormat="1" applyFill="1" applyBorder="1" applyAlignment="1">
      <alignment horizontal="center" vertical="center"/>
    </xf>
    <xf numFmtId="182" fontId="0" fillId="2" borderId="20" xfId="0" applyNumberFormat="1" applyFill="1" applyBorder="1" applyAlignment="1">
      <alignment horizontal="center" vertical="center"/>
    </xf>
    <xf numFmtId="182" fontId="0" fillId="3" borderId="26" xfId="0" applyNumberFormat="1" applyFill="1" applyBorder="1" applyAlignment="1">
      <alignment horizontal="center" vertical="center"/>
    </xf>
    <xf numFmtId="0" fontId="0" fillId="3" borderId="31" xfId="0" applyFill="1" applyBorder="1" applyAlignment="1">
      <alignment vertical="center"/>
    </xf>
    <xf numFmtId="182" fontId="0" fillId="2" borderId="33" xfId="0" applyNumberFormat="1" applyFill="1" applyBorder="1" applyAlignment="1">
      <alignment horizontal="center" vertical="center"/>
    </xf>
    <xf numFmtId="0" fontId="0" fillId="3" borderId="114" xfId="0" applyFill="1" applyBorder="1" applyAlignment="1">
      <alignment vertical="center"/>
    </xf>
    <xf numFmtId="0" fontId="0" fillId="0" borderId="39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1" fillId="0" borderId="27" xfId="0" applyFont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3" borderId="116" xfId="0" applyFill="1" applyBorder="1" applyAlignment="1">
      <alignment vertical="center"/>
    </xf>
    <xf numFmtId="0" fontId="0" fillId="0" borderId="115" xfId="0" applyBorder="1" applyAlignment="1">
      <alignment vertical="center"/>
    </xf>
    <xf numFmtId="0" fontId="0" fillId="0" borderId="116" xfId="0" applyBorder="1" applyAlignment="1">
      <alignment vertical="center"/>
    </xf>
    <xf numFmtId="182" fontId="0" fillId="2" borderId="114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49" fontId="0" fillId="3" borderId="26" xfId="0" applyNumberFormat="1" applyFill="1" applyBorder="1" applyAlignment="1">
      <alignment horizontal="center" vertical="center"/>
    </xf>
    <xf numFmtId="0" fontId="0" fillId="3" borderId="49" xfId="0" applyFill="1" applyBorder="1" applyAlignment="1">
      <alignment vertical="center"/>
    </xf>
    <xf numFmtId="0" fontId="0" fillId="3" borderId="33" xfId="0" applyFill="1" applyBorder="1" applyAlignment="1">
      <alignment vertical="center"/>
    </xf>
    <xf numFmtId="49" fontId="0" fillId="3" borderId="33" xfId="0" applyNumberFormat="1" applyFill="1" applyBorder="1" applyAlignment="1">
      <alignment horizontal="center" vertical="center"/>
    </xf>
    <xf numFmtId="0" fontId="0" fillId="3" borderId="26" xfId="0" quotePrefix="1" applyFill="1" applyBorder="1" applyAlignment="1">
      <alignment horizontal="center" vertical="center"/>
    </xf>
    <xf numFmtId="183" fontId="0" fillId="2" borderId="26" xfId="0" applyNumberFormat="1" applyFill="1" applyBorder="1" applyAlignment="1">
      <alignment vertical="center"/>
    </xf>
    <xf numFmtId="183" fontId="0" fillId="2" borderId="33" xfId="0" applyNumberFormat="1" applyFill="1" applyBorder="1" applyAlignment="1">
      <alignment vertical="center"/>
    </xf>
    <xf numFmtId="0" fontId="0" fillId="3" borderId="33" xfId="0" applyFill="1" applyBorder="1" applyAlignment="1">
      <alignment horizontal="center" vertical="center"/>
    </xf>
    <xf numFmtId="182" fontId="0" fillId="2" borderId="33" xfId="0" applyNumberFormat="1" applyFill="1" applyBorder="1" applyAlignment="1">
      <alignment vertical="center"/>
    </xf>
    <xf numFmtId="0" fontId="27" fillId="0" borderId="0" xfId="0" applyFont="1" applyAlignment="1">
      <alignment vertical="center"/>
    </xf>
    <xf numFmtId="0" fontId="5" fillId="0" borderId="1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2" borderId="40" xfId="0" applyFill="1" applyBorder="1" applyAlignment="1">
      <alignment vertical="center"/>
    </xf>
    <xf numFmtId="0" fontId="0" fillId="3" borderId="114" xfId="0" applyFill="1" applyBorder="1" applyAlignment="1">
      <alignment horizontal="center" vertical="center"/>
    </xf>
    <xf numFmtId="176" fontId="0" fillId="3" borderId="114" xfId="0" applyNumberForma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76" fontId="0" fillId="3" borderId="20" xfId="0" applyNumberFormat="1" applyFill="1" applyBorder="1" applyAlignment="1">
      <alignment horizontal="center" vertical="center"/>
    </xf>
    <xf numFmtId="176" fontId="0" fillId="0" borderId="114" xfId="0" applyNumberFormat="1" applyBorder="1" applyAlignment="1">
      <alignment horizontal="center" vertical="center"/>
    </xf>
    <xf numFmtId="176" fontId="0" fillId="0" borderId="114" xfId="0" applyNumberFormat="1" applyBorder="1" applyAlignment="1">
      <alignment horizontal="left" vertical="center"/>
    </xf>
    <xf numFmtId="176" fontId="21" fillId="0" borderId="18" xfId="0" applyNumberFormat="1" applyFont="1" applyBorder="1" applyAlignment="1">
      <alignment vertical="center"/>
    </xf>
    <xf numFmtId="176" fontId="21" fillId="0" borderId="19" xfId="0" applyNumberFormat="1" applyFont="1" applyBorder="1" applyAlignment="1">
      <alignment vertical="center"/>
    </xf>
    <xf numFmtId="176" fontId="21" fillId="0" borderId="65" xfId="0" applyNumberFormat="1" applyFont="1" applyBorder="1" applyAlignment="1">
      <alignment vertical="center"/>
    </xf>
    <xf numFmtId="176" fontId="1" fillId="0" borderId="3" xfId="0" applyNumberFormat="1" applyFont="1" applyBorder="1" applyAlignment="1">
      <alignment vertical="center"/>
    </xf>
    <xf numFmtId="176" fontId="1" fillId="0" borderId="19" xfId="0" applyNumberFormat="1" applyFont="1" applyBorder="1" applyAlignment="1">
      <alignment vertical="center"/>
    </xf>
    <xf numFmtId="176" fontId="0" fillId="0" borderId="118" xfId="0" applyNumberFormat="1" applyBorder="1" applyAlignment="1">
      <alignment vertical="center"/>
    </xf>
    <xf numFmtId="176" fontId="0" fillId="0" borderId="119" xfId="0" applyNumberFormat="1" applyBorder="1" applyAlignment="1">
      <alignment vertical="center"/>
    </xf>
    <xf numFmtId="176" fontId="1" fillId="0" borderId="23" xfId="0" applyNumberFormat="1" applyFont="1" applyBorder="1" applyAlignment="1">
      <alignment vertical="center"/>
    </xf>
    <xf numFmtId="0" fontId="1" fillId="0" borderId="116" xfId="0" applyFont="1" applyBorder="1" applyAlignment="1">
      <alignment horizontal="center" vertical="center"/>
    </xf>
    <xf numFmtId="176" fontId="1" fillId="0" borderId="19" xfId="0" applyNumberFormat="1" applyFont="1" applyBorder="1" applyAlignment="1">
      <alignment horizontal="right" vertical="center"/>
    </xf>
    <xf numFmtId="176" fontId="1" fillId="0" borderId="65" xfId="0" applyNumberFormat="1" applyFont="1" applyBorder="1" applyAlignment="1">
      <alignment horizontal="right" vertical="center"/>
    </xf>
    <xf numFmtId="0" fontId="1" fillId="0" borderId="114" xfId="0" applyFont="1" applyBorder="1" applyAlignment="1">
      <alignment vertical="center"/>
    </xf>
    <xf numFmtId="0" fontId="0" fillId="3" borderId="26" xfId="0" quotePrefix="1" applyFill="1" applyBorder="1" applyAlignment="1">
      <alignment vertical="center"/>
    </xf>
    <xf numFmtId="0" fontId="29" fillId="2" borderId="26" xfId="0" applyFont="1" applyFill="1" applyBorder="1" applyAlignment="1">
      <alignment horizontal="center" vertical="center"/>
    </xf>
    <xf numFmtId="176" fontId="29" fillId="2" borderId="26" xfId="0" applyNumberFormat="1" applyFont="1" applyFill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9" fillId="3" borderId="26" xfId="0" applyFont="1" applyFill="1" applyBorder="1" applyAlignment="1">
      <alignment vertical="center"/>
    </xf>
    <xf numFmtId="0" fontId="0" fillId="0" borderId="114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0" fillId="2" borderId="114" xfId="0" applyFill="1" applyBorder="1" applyAlignment="1">
      <alignment horizontal="center" vertical="center"/>
    </xf>
    <xf numFmtId="176" fontId="21" fillId="0" borderId="61" xfId="0" applyNumberFormat="1" applyFont="1" applyBorder="1" applyAlignment="1">
      <alignment vertical="center"/>
    </xf>
    <xf numFmtId="176" fontId="21" fillId="0" borderId="70" xfId="0" applyNumberFormat="1" applyFont="1" applyBorder="1" applyAlignment="1">
      <alignment vertical="center"/>
    </xf>
    <xf numFmtId="176" fontId="21" fillId="0" borderId="120" xfId="0" applyNumberFormat="1" applyFont="1" applyBorder="1" applyAlignment="1">
      <alignment vertical="center"/>
    </xf>
    <xf numFmtId="176" fontId="1" fillId="0" borderId="70" xfId="0" applyNumberFormat="1" applyFont="1" applyBorder="1" applyAlignment="1">
      <alignment vertical="center"/>
    </xf>
    <xf numFmtId="176" fontId="0" fillId="0" borderId="91" xfId="0" applyNumberFormat="1" applyBorder="1" applyAlignment="1">
      <alignment vertical="center"/>
    </xf>
    <xf numFmtId="176" fontId="0" fillId="0" borderId="92" xfId="0" applyNumberFormat="1" applyBorder="1" applyAlignment="1">
      <alignment vertical="center"/>
    </xf>
    <xf numFmtId="176" fontId="0" fillId="0" borderId="17" xfId="0" applyNumberFormat="1" applyBorder="1" applyAlignment="1">
      <alignment vertical="center"/>
    </xf>
    <xf numFmtId="176" fontId="0" fillId="0" borderId="40" xfId="0" applyNumberFormat="1" applyBorder="1" applyAlignment="1">
      <alignment horizontal="center" vertical="center"/>
    </xf>
    <xf numFmtId="176" fontId="0" fillId="0" borderId="40" xfId="0" applyNumberFormat="1" applyBorder="1" applyAlignment="1">
      <alignment horizontal="left" vertical="center"/>
    </xf>
    <xf numFmtId="176" fontId="0" fillId="0" borderId="33" xfId="0" applyNumberFormat="1" applyBorder="1" applyAlignment="1">
      <alignment horizontal="center" vertical="center"/>
    </xf>
    <xf numFmtId="176" fontId="0" fillId="0" borderId="33" xfId="0" applyNumberFormat="1" applyBorder="1" applyAlignment="1">
      <alignment horizontal="left" vertical="center"/>
    </xf>
    <xf numFmtId="176" fontId="21" fillId="0" borderId="121" xfId="0" applyNumberFormat="1" applyFont="1" applyBorder="1" applyAlignment="1">
      <alignment vertical="center"/>
    </xf>
    <xf numFmtId="176" fontId="21" fillId="0" borderId="32" xfId="0" applyNumberFormat="1" applyFont="1" applyBorder="1" applyAlignment="1">
      <alignment vertical="center"/>
    </xf>
    <xf numFmtId="176" fontId="21" fillId="0" borderId="69" xfId="0" applyNumberFormat="1" applyFont="1" applyBorder="1" applyAlignment="1">
      <alignment vertical="center"/>
    </xf>
    <xf numFmtId="176" fontId="1" fillId="0" borderId="68" xfId="0" applyNumberFormat="1" applyFont="1" applyBorder="1" applyAlignment="1">
      <alignment vertical="center"/>
    </xf>
    <xf numFmtId="176" fontId="1" fillId="0" borderId="32" xfId="0" applyNumberFormat="1" applyFont="1" applyBorder="1" applyAlignment="1">
      <alignment vertical="center"/>
    </xf>
    <xf numFmtId="176" fontId="0" fillId="0" borderId="122" xfId="0" applyNumberFormat="1" applyBorder="1" applyAlignment="1">
      <alignment vertical="center"/>
    </xf>
    <xf numFmtId="176" fontId="0" fillId="0" borderId="123" xfId="0" applyNumberFormat="1" applyBorder="1" applyAlignment="1">
      <alignment vertical="center"/>
    </xf>
    <xf numFmtId="0" fontId="29" fillId="2" borderId="114" xfId="0" applyFont="1" applyFill="1" applyBorder="1" applyAlignment="1">
      <alignment vertical="center"/>
    </xf>
    <xf numFmtId="0" fontId="29" fillId="3" borderId="114" xfId="0" applyFont="1" applyFill="1" applyBorder="1" applyAlignment="1">
      <alignment horizontal="center" vertical="center"/>
    </xf>
    <xf numFmtId="176" fontId="29" fillId="3" borderId="114" xfId="0" applyNumberFormat="1" applyFont="1" applyFill="1" applyBorder="1" applyAlignment="1">
      <alignment horizontal="center" vertical="center"/>
    </xf>
    <xf numFmtId="176" fontId="29" fillId="2" borderId="114" xfId="0" applyNumberFormat="1" applyFont="1" applyFill="1" applyBorder="1" applyAlignment="1">
      <alignment vertical="center"/>
    </xf>
    <xf numFmtId="176" fontId="29" fillId="0" borderId="115" xfId="0" applyNumberFormat="1" applyFont="1" applyBorder="1" applyAlignment="1">
      <alignment vertical="center"/>
    </xf>
    <xf numFmtId="0" fontId="29" fillId="0" borderId="114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176" fontId="1" fillId="0" borderId="32" xfId="0" applyNumberFormat="1" applyFont="1" applyBorder="1" applyAlignment="1">
      <alignment horizontal="right" vertical="center"/>
    </xf>
    <xf numFmtId="176" fontId="1" fillId="0" borderId="69" xfId="0" applyNumberFormat="1" applyFont="1" applyBorder="1" applyAlignment="1">
      <alignment horizontal="right" vertical="center"/>
    </xf>
    <xf numFmtId="0" fontId="1" fillId="0" borderId="33" xfId="0" applyFont="1" applyBorder="1" applyAlignment="1">
      <alignment vertical="center"/>
    </xf>
    <xf numFmtId="3" fontId="14" fillId="0" borderId="4" xfId="0" applyNumberFormat="1" applyFont="1" applyBorder="1" applyAlignment="1">
      <alignment horizontal="left" vertical="center"/>
    </xf>
    <xf numFmtId="3" fontId="14" fillId="0" borderId="5" xfId="0" applyNumberFormat="1" applyFont="1" applyBorder="1" applyAlignment="1">
      <alignment horizontal="left" vertical="center"/>
    </xf>
    <xf numFmtId="3" fontId="14" fillId="0" borderId="64" xfId="0" applyNumberFormat="1" applyFont="1" applyBorder="1" applyAlignment="1">
      <alignment horizontal="left" vertical="center"/>
    </xf>
    <xf numFmtId="3" fontId="14" fillId="0" borderId="83" xfId="0" applyNumberFormat="1" applyFont="1" applyBorder="1" applyAlignment="1">
      <alignment vertical="center"/>
    </xf>
    <xf numFmtId="0" fontId="0" fillId="2" borderId="113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0" borderId="113" xfId="0" applyBorder="1" applyAlignment="1">
      <alignment horizontal="center" vertical="center"/>
    </xf>
    <xf numFmtId="0" fontId="0" fillId="2" borderId="26" xfId="0" quotePrefix="1" applyFill="1" applyBorder="1" applyAlignment="1">
      <alignment vertical="center"/>
    </xf>
    <xf numFmtId="0" fontId="0" fillId="3" borderId="21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115" xfId="0" applyFill="1" applyBorder="1" applyAlignment="1">
      <alignment vertical="center"/>
    </xf>
    <xf numFmtId="181" fontId="0" fillId="2" borderId="20" xfId="0" applyNumberFormat="1" applyFill="1" applyBorder="1" applyAlignment="1">
      <alignment horizontal="center" vertical="center"/>
    </xf>
    <xf numFmtId="181" fontId="0" fillId="3" borderId="114" xfId="0" applyNumberFormat="1" applyFill="1" applyBorder="1" applyAlignment="1">
      <alignment horizontal="center" vertical="center"/>
    </xf>
    <xf numFmtId="181" fontId="0" fillId="3" borderId="33" xfId="0" applyNumberFormat="1" applyFill="1" applyBorder="1" applyAlignment="1">
      <alignment horizontal="center" vertical="center"/>
    </xf>
    <xf numFmtId="3" fontId="14" fillId="0" borderId="30" xfId="0" applyNumberFormat="1" applyFont="1" applyBorder="1" applyAlignment="1">
      <alignment vertical="center" wrapText="1"/>
    </xf>
    <xf numFmtId="0" fontId="0" fillId="8" borderId="26" xfId="0" applyFill="1" applyBorder="1" applyAlignment="1">
      <alignment vertical="center"/>
    </xf>
    <xf numFmtId="0" fontId="0" fillId="0" borderId="26" xfId="0" applyBorder="1" applyAlignment="1">
      <alignment horizontal="left" vertical="center"/>
    </xf>
    <xf numFmtId="41" fontId="0" fillId="2" borderId="26" xfId="1" applyFont="1" applyFill="1" applyBorder="1" applyAlignment="1">
      <alignment vertical="center"/>
    </xf>
    <xf numFmtId="41" fontId="1" fillId="0" borderId="26" xfId="1" applyFont="1" applyFill="1" applyBorder="1" applyAlignment="1">
      <alignment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8" borderId="26" xfId="0" applyNumberFormat="1" applyFill="1" applyBorder="1" applyAlignment="1">
      <alignment vertical="center"/>
    </xf>
    <xf numFmtId="176" fontId="0" fillId="3" borderId="33" xfId="0" applyNumberForma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76" fontId="0" fillId="0" borderId="29" xfId="0" applyNumberFormat="1" applyBorder="1" applyAlignment="1">
      <alignment horizontal="right" vertical="center"/>
    </xf>
    <xf numFmtId="176" fontId="0" fillId="0" borderId="18" xfId="0" applyNumberFormat="1" applyBorder="1" applyAlignment="1">
      <alignment horizontal="right" vertical="center"/>
    </xf>
    <xf numFmtId="176" fontId="0" fillId="0" borderId="61" xfId="0" applyNumberFormat="1" applyBorder="1" applyAlignment="1">
      <alignment horizontal="right" vertical="center"/>
    </xf>
    <xf numFmtId="176" fontId="0" fillId="0" borderId="121" xfId="0" applyNumberFormat="1" applyBorder="1" applyAlignment="1">
      <alignment horizontal="right" vertical="center"/>
    </xf>
    <xf numFmtId="184" fontId="5" fillId="0" borderId="0" xfId="0" applyNumberFormat="1" applyFont="1" applyAlignment="1">
      <alignment vertical="center"/>
    </xf>
    <xf numFmtId="0" fontId="0" fillId="8" borderId="26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84" fontId="5" fillId="3" borderId="0" xfId="0" applyNumberFormat="1" applyFont="1" applyFill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116" xfId="0" applyFont="1" applyBorder="1" applyAlignment="1">
      <alignment horizontal="left" vertical="center"/>
    </xf>
    <xf numFmtId="0" fontId="1" fillId="0" borderId="11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176" fontId="5" fillId="0" borderId="34" xfId="0" applyNumberFormat="1" applyFont="1" applyBorder="1" applyAlignment="1">
      <alignment horizontal="center" vertical="center"/>
    </xf>
    <xf numFmtId="176" fontId="5" fillId="0" borderId="35" xfId="0" applyNumberFormat="1" applyFont="1" applyBorder="1" applyAlignment="1">
      <alignment horizontal="center" vertical="center"/>
    </xf>
    <xf numFmtId="176" fontId="5" fillId="0" borderId="36" xfId="0" applyNumberFormat="1" applyFont="1" applyBorder="1" applyAlignment="1">
      <alignment horizontal="center" vertical="center"/>
    </xf>
    <xf numFmtId="176" fontId="1" fillId="0" borderId="34" xfId="0" applyNumberFormat="1" applyFont="1" applyBorder="1" applyAlignment="1">
      <alignment horizontal="center" vertical="center" wrapText="1"/>
    </xf>
    <xf numFmtId="176" fontId="1" fillId="0" borderId="36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textRotation="255"/>
    </xf>
    <xf numFmtId="0" fontId="1" fillId="0" borderId="40" xfId="0" applyFont="1" applyBorder="1" applyAlignment="1">
      <alignment horizontal="center" vertical="center" textRotation="255"/>
    </xf>
    <xf numFmtId="0" fontId="1" fillId="0" borderId="43" xfId="0" applyFont="1" applyBorder="1" applyAlignment="1">
      <alignment horizontal="center" vertical="center" textRotation="255"/>
    </xf>
    <xf numFmtId="0" fontId="1" fillId="2" borderId="13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177" fontId="1" fillId="2" borderId="16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Alignment="1">
      <alignment horizontal="left" vertical="center"/>
    </xf>
    <xf numFmtId="177" fontId="1" fillId="2" borderId="17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176" fontId="0" fillId="0" borderId="53" xfId="0" applyNumberFormat="1" applyBorder="1" applyAlignment="1">
      <alignment horizontal="right" vertical="center"/>
    </xf>
    <xf numFmtId="176" fontId="0" fillId="0" borderId="70" xfId="0" applyNumberFormat="1" applyBorder="1" applyAlignment="1">
      <alignment horizontal="right" vertical="center"/>
    </xf>
    <xf numFmtId="176" fontId="0" fillId="0" borderId="108" xfId="0" applyNumberFormat="1" applyBorder="1" applyAlignment="1">
      <alignment horizontal="right" vertical="center"/>
    </xf>
    <xf numFmtId="0" fontId="1" fillId="0" borderId="31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4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68" xfId="0" applyNumberFormat="1" applyFont="1" applyBorder="1" applyAlignment="1">
      <alignment horizontal="center" vertical="center"/>
    </xf>
    <xf numFmtId="3" fontId="1" fillId="0" borderId="51" xfId="0" applyNumberFormat="1" applyFont="1" applyBorder="1" applyAlignment="1">
      <alignment horizontal="center" vertical="center"/>
    </xf>
    <xf numFmtId="3" fontId="1" fillId="0" borderId="39" xfId="0" applyNumberFormat="1" applyFont="1" applyBorder="1" applyAlignment="1">
      <alignment horizontal="center" vertical="center"/>
    </xf>
    <xf numFmtId="3" fontId="1" fillId="0" borderId="52" xfId="0" applyNumberFormat="1" applyFont="1" applyBorder="1" applyAlignment="1">
      <alignment horizontal="center" vertical="center"/>
    </xf>
    <xf numFmtId="3" fontId="1" fillId="0" borderId="56" xfId="0" applyNumberFormat="1" applyFont="1" applyBorder="1" applyAlignment="1">
      <alignment horizontal="center" vertical="center"/>
    </xf>
    <xf numFmtId="3" fontId="1" fillId="0" borderId="57" xfId="0" applyNumberFormat="1" applyFont="1" applyBorder="1" applyAlignment="1">
      <alignment horizontal="center" vertical="center"/>
    </xf>
    <xf numFmtId="3" fontId="1" fillId="0" borderId="58" xfId="0" applyNumberFormat="1" applyFont="1" applyBorder="1" applyAlignment="1">
      <alignment horizontal="center" vertical="center"/>
    </xf>
    <xf numFmtId="3" fontId="1" fillId="0" borderId="61" xfId="0" applyNumberFormat="1" applyFont="1" applyBorder="1" applyAlignment="1">
      <alignment horizontal="center" vertical="center"/>
    </xf>
    <xf numFmtId="3" fontId="1" fillId="0" borderId="66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 wrapText="1"/>
    </xf>
    <xf numFmtId="3" fontId="1" fillId="0" borderId="67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 wrapText="1"/>
    </xf>
    <xf numFmtId="3" fontId="1" fillId="0" borderId="70" xfId="0" applyNumberFormat="1" applyFont="1" applyBorder="1" applyAlignment="1">
      <alignment horizontal="center" vertical="center" wrapText="1"/>
    </xf>
    <xf numFmtId="3" fontId="1" fillId="0" borderId="70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center" vertical="center"/>
    </xf>
    <xf numFmtId="3" fontId="1" fillId="0" borderId="42" xfId="0" applyNumberFormat="1" applyFont="1" applyBorder="1" applyAlignment="1">
      <alignment horizontal="center" vertic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3" fontId="1" fillId="0" borderId="75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79" xfId="0" applyNumberFormat="1" applyFont="1" applyBorder="1" applyAlignment="1">
      <alignment horizontal="center" vertical="center"/>
    </xf>
    <xf numFmtId="3" fontId="1" fillId="0" borderId="80" xfId="0" applyNumberFormat="1" applyFont="1" applyBorder="1" applyAlignment="1">
      <alignment horizontal="center" vertical="center"/>
    </xf>
    <xf numFmtId="3" fontId="1" fillId="0" borderId="81" xfId="0" applyNumberFormat="1" applyFont="1" applyBorder="1" applyAlignment="1">
      <alignment horizontal="center" vertical="center"/>
    </xf>
    <xf numFmtId="3" fontId="14" fillId="5" borderId="4" xfId="0" applyNumberFormat="1" applyFont="1" applyFill="1" applyBorder="1" applyAlignment="1">
      <alignment horizontal="left" vertical="center"/>
    </xf>
    <xf numFmtId="3" fontId="14" fillId="5" borderId="5" xfId="0" applyNumberFormat="1" applyFont="1" applyFill="1" applyBorder="1" applyAlignment="1">
      <alignment horizontal="left" vertical="center"/>
    </xf>
    <xf numFmtId="3" fontId="14" fillId="5" borderId="64" xfId="0" applyNumberFormat="1" applyFont="1" applyFill="1" applyBorder="1" applyAlignment="1">
      <alignment horizontal="left" vertical="center"/>
    </xf>
    <xf numFmtId="3" fontId="14" fillId="0" borderId="4" xfId="0" applyNumberFormat="1" applyFont="1" applyBorder="1" applyAlignment="1">
      <alignment horizontal="left" vertical="center"/>
    </xf>
    <xf numFmtId="3" fontId="14" fillId="0" borderId="5" xfId="0" applyNumberFormat="1" applyFont="1" applyBorder="1" applyAlignment="1">
      <alignment horizontal="left" vertical="center"/>
    </xf>
    <xf numFmtId="3" fontId="14" fillId="0" borderId="64" xfId="0" applyNumberFormat="1" applyFont="1" applyBorder="1" applyAlignment="1">
      <alignment horizontal="left" vertical="center"/>
    </xf>
    <xf numFmtId="3" fontId="0" fillId="0" borderId="47" xfId="0" quotePrefix="1" applyNumberFormat="1" applyBorder="1" applyAlignment="1">
      <alignment horizontal="left" vertical="center"/>
    </xf>
    <xf numFmtId="3" fontId="0" fillId="0" borderId="48" xfId="0" quotePrefix="1" applyNumberFormat="1" applyBorder="1" applyAlignment="1">
      <alignment horizontal="left" vertical="center"/>
    </xf>
    <xf numFmtId="3" fontId="0" fillId="0" borderId="68" xfId="0" quotePrefix="1" applyNumberFormat="1" applyBorder="1" applyAlignment="1">
      <alignment horizontal="left" vertical="center"/>
    </xf>
    <xf numFmtId="3" fontId="1" fillId="0" borderId="85" xfId="0" applyNumberFormat="1" applyFont="1" applyBorder="1" applyAlignment="1">
      <alignment horizontal="center" vertical="center"/>
    </xf>
    <xf numFmtId="3" fontId="14" fillId="0" borderId="86" xfId="0" quotePrefix="1" applyNumberFormat="1" applyFont="1" applyBorder="1" applyAlignment="1">
      <alignment horizontal="left" vertical="center"/>
    </xf>
    <xf numFmtId="3" fontId="14" fillId="0" borderId="85" xfId="0" quotePrefix="1" applyNumberFormat="1" applyFont="1" applyBorder="1" applyAlignment="1">
      <alignment horizontal="left" vertical="center"/>
    </xf>
    <xf numFmtId="3" fontId="14" fillId="0" borderId="87" xfId="0" quotePrefix="1" applyNumberFormat="1" applyFont="1" applyBorder="1" applyAlignment="1">
      <alignment horizontal="left" vertical="center"/>
    </xf>
    <xf numFmtId="3" fontId="0" fillId="0" borderId="19" xfId="0" applyNumberFormat="1" applyBorder="1" applyAlignment="1">
      <alignment horizontal="center" vertical="center" wrapText="1"/>
    </xf>
    <xf numFmtId="3" fontId="0" fillId="0" borderId="70" xfId="0" applyNumberFormat="1" applyBorder="1" applyAlignment="1">
      <alignment horizontal="center" vertical="center"/>
    </xf>
    <xf numFmtId="3" fontId="0" fillId="0" borderId="62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64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39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79" fontId="8" fillId="2" borderId="45" xfId="0" applyNumberFormat="1" applyFont="1" applyFill="1" applyBorder="1" applyAlignment="1">
      <alignment horizontal="left" vertical="center"/>
    </xf>
  </cellXfs>
  <cellStyles count="5">
    <cellStyle name="백분율" xfId="2" builtinId="5"/>
    <cellStyle name="쉼표 [0]" xfId="1" builtinId="6"/>
    <cellStyle name="쉼표 [0] 3" xfId="3" xr:uid="{00000000-0005-0000-0000-000002000000}"/>
    <cellStyle name="표준" xfId="0" builtinId="0"/>
    <cellStyle name="표준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198120</xdr:colOff>
      <xdr:row>15</xdr:row>
      <xdr:rowOff>19050</xdr:rowOff>
    </xdr:from>
    <xdr:to>
      <xdr:col>14</xdr:col>
      <xdr:colOff>11502</xdr:colOff>
      <xdr:row>16</xdr:row>
      <xdr:rowOff>82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E03C4E73-6D45-431E-821D-E20A52C2753B}"/>
            </a:ext>
          </a:extLst>
        </xdr:cNvPr>
        <xdr:cNvSpPr>
          <a:spLocks/>
        </xdr:cNvSpPr>
      </xdr:nvSpPr>
      <xdr:spPr bwMode="auto">
        <a:xfrm>
          <a:off x="7658100" y="3825240"/>
          <a:ext cx="3063312" cy="232492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205740</xdr:colOff>
      <xdr:row>11</xdr:row>
      <xdr:rowOff>11430</xdr:rowOff>
    </xdr:from>
    <xdr:to>
      <xdr:col>14</xdr:col>
      <xdr:colOff>19134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B1554ED-3542-46FC-A181-5E7A54F400BF}"/>
            </a:ext>
          </a:extLst>
        </xdr:cNvPr>
        <xdr:cNvSpPr>
          <a:spLocks/>
        </xdr:cNvSpPr>
      </xdr:nvSpPr>
      <xdr:spPr bwMode="auto">
        <a:xfrm>
          <a:off x="7667625" y="2834640"/>
          <a:ext cx="3053799" cy="232410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205740</xdr:colOff>
      <xdr:row>17</xdr:row>
      <xdr:rowOff>11430</xdr:rowOff>
    </xdr:from>
    <xdr:to>
      <xdr:col>14</xdr:col>
      <xdr:colOff>19134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7AA2CB6-3BC9-4972-9F43-A79B12CBE319}"/>
            </a:ext>
          </a:extLst>
        </xdr:cNvPr>
        <xdr:cNvSpPr>
          <a:spLocks/>
        </xdr:cNvSpPr>
      </xdr:nvSpPr>
      <xdr:spPr bwMode="auto">
        <a:xfrm>
          <a:off x="7667625" y="4320540"/>
          <a:ext cx="3053799" cy="232410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217170</xdr:colOff>
      <xdr:row>7</xdr:row>
      <xdr:rowOff>115255</xdr:rowOff>
    </xdr:from>
    <xdr:to>
      <xdr:col>14</xdr:col>
      <xdr:colOff>30430</xdr:colOff>
      <xdr:row>8</xdr:row>
      <xdr:rowOff>152054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A1FAD33C-0057-4687-A9AC-8060195D56B1}"/>
            </a:ext>
          </a:extLst>
        </xdr:cNvPr>
        <xdr:cNvSpPr>
          <a:spLocks/>
        </xdr:cNvSpPr>
      </xdr:nvSpPr>
      <xdr:spPr bwMode="auto">
        <a:xfrm>
          <a:off x="7673340" y="1944055"/>
          <a:ext cx="3061285" cy="284449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200496</xdr:colOff>
      <xdr:row>14</xdr:row>
      <xdr:rowOff>0</xdr:rowOff>
    </xdr:from>
    <xdr:to>
      <xdr:col>14</xdr:col>
      <xdr:colOff>15812</xdr:colOff>
      <xdr:row>14</xdr:row>
      <xdr:rowOff>174127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96FF4CBC-5829-4EE2-BC49-97A9E9835AD6}"/>
            </a:ext>
          </a:extLst>
        </xdr:cNvPr>
        <xdr:cNvSpPr>
          <a:spLocks/>
        </xdr:cNvSpPr>
      </xdr:nvSpPr>
      <xdr:spPr bwMode="auto">
        <a:xfrm>
          <a:off x="7660476" y="3562350"/>
          <a:ext cx="3065246" cy="170317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214307</xdr:colOff>
      <xdr:row>8</xdr:row>
      <xdr:rowOff>180498</xdr:rowOff>
    </xdr:from>
    <xdr:to>
      <xdr:col>14</xdr:col>
      <xdr:colOff>19954</xdr:colOff>
      <xdr:row>10</xdr:row>
      <xdr:rowOff>152392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0FE7BD7C-B65F-4556-8BA1-B0B71DAFA303}"/>
            </a:ext>
          </a:extLst>
        </xdr:cNvPr>
        <xdr:cNvSpPr>
          <a:spLocks/>
        </xdr:cNvSpPr>
      </xdr:nvSpPr>
      <xdr:spPr bwMode="auto">
        <a:xfrm>
          <a:off x="7668572" y="2255043"/>
          <a:ext cx="3053672" cy="469099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K51"/>
  <sheetViews>
    <sheetView topLeftCell="A21" zoomScale="145" zoomScaleNormal="145" zoomScaleSheetLayoutView="90" workbookViewId="0">
      <selection activeCell="B2" sqref="B2:I2"/>
    </sheetView>
  </sheetViews>
  <sheetFormatPr defaultColWidth="9" defaultRowHeight="14.4"/>
  <cols>
    <col min="1" max="1" width="2" style="1" customWidth="1"/>
    <col min="2" max="2" width="4.8984375" style="1" customWidth="1"/>
    <col min="3" max="3" width="8.5" style="1" customWidth="1"/>
    <col min="4" max="4" width="14.69921875" style="1" customWidth="1"/>
    <col min="5" max="6" width="11.09765625" style="1" customWidth="1"/>
    <col min="7" max="7" width="14.09765625" style="1" customWidth="1"/>
    <col min="8" max="8" width="11.69921875" style="1" customWidth="1"/>
    <col min="9" max="9" width="8.69921875" style="1" customWidth="1"/>
    <col min="10" max="10" width="9" style="1"/>
    <col min="11" max="11" width="33.19921875" style="1" customWidth="1"/>
    <col min="12" max="256" width="9" style="1"/>
    <col min="257" max="257" width="2" style="1" customWidth="1"/>
    <col min="258" max="258" width="4.8984375" style="1" customWidth="1"/>
    <col min="259" max="259" width="8.5" style="1" customWidth="1"/>
    <col min="260" max="260" width="14.69921875" style="1" customWidth="1"/>
    <col min="261" max="262" width="11.09765625" style="1" customWidth="1"/>
    <col min="263" max="263" width="14.09765625" style="1" customWidth="1"/>
    <col min="264" max="264" width="11.69921875" style="1" customWidth="1"/>
    <col min="265" max="265" width="8.69921875" style="1" customWidth="1"/>
    <col min="266" max="266" width="9" style="1"/>
    <col min="267" max="267" width="33.19921875" style="1" customWidth="1"/>
    <col min="268" max="512" width="9" style="1"/>
    <col min="513" max="513" width="2" style="1" customWidth="1"/>
    <col min="514" max="514" width="4.8984375" style="1" customWidth="1"/>
    <col min="515" max="515" width="8.5" style="1" customWidth="1"/>
    <col min="516" max="516" width="14.69921875" style="1" customWidth="1"/>
    <col min="517" max="518" width="11.09765625" style="1" customWidth="1"/>
    <col min="519" max="519" width="14.09765625" style="1" customWidth="1"/>
    <col min="520" max="520" width="11.69921875" style="1" customWidth="1"/>
    <col min="521" max="521" width="8.69921875" style="1" customWidth="1"/>
    <col min="522" max="522" width="9" style="1"/>
    <col min="523" max="523" width="33.19921875" style="1" customWidth="1"/>
    <col min="524" max="768" width="9" style="1"/>
    <col min="769" max="769" width="2" style="1" customWidth="1"/>
    <col min="770" max="770" width="4.8984375" style="1" customWidth="1"/>
    <col min="771" max="771" width="8.5" style="1" customWidth="1"/>
    <col min="772" max="772" width="14.69921875" style="1" customWidth="1"/>
    <col min="773" max="774" width="11.09765625" style="1" customWidth="1"/>
    <col min="775" max="775" width="14.09765625" style="1" customWidth="1"/>
    <col min="776" max="776" width="11.69921875" style="1" customWidth="1"/>
    <col min="777" max="777" width="8.69921875" style="1" customWidth="1"/>
    <col min="778" max="778" width="9" style="1"/>
    <col min="779" max="779" width="33.19921875" style="1" customWidth="1"/>
    <col min="780" max="1024" width="9" style="1"/>
    <col min="1025" max="1025" width="2" style="1" customWidth="1"/>
    <col min="1026" max="1026" width="4.8984375" style="1" customWidth="1"/>
    <col min="1027" max="1027" width="8.5" style="1" customWidth="1"/>
    <col min="1028" max="1028" width="14.69921875" style="1" customWidth="1"/>
    <col min="1029" max="1030" width="11.09765625" style="1" customWidth="1"/>
    <col min="1031" max="1031" width="14.09765625" style="1" customWidth="1"/>
    <col min="1032" max="1032" width="11.69921875" style="1" customWidth="1"/>
    <col min="1033" max="1033" width="8.69921875" style="1" customWidth="1"/>
    <col min="1034" max="1034" width="9" style="1"/>
    <col min="1035" max="1035" width="33.19921875" style="1" customWidth="1"/>
    <col min="1036" max="1280" width="9" style="1"/>
    <col min="1281" max="1281" width="2" style="1" customWidth="1"/>
    <col min="1282" max="1282" width="4.8984375" style="1" customWidth="1"/>
    <col min="1283" max="1283" width="8.5" style="1" customWidth="1"/>
    <col min="1284" max="1284" width="14.69921875" style="1" customWidth="1"/>
    <col min="1285" max="1286" width="11.09765625" style="1" customWidth="1"/>
    <col min="1287" max="1287" width="14.09765625" style="1" customWidth="1"/>
    <col min="1288" max="1288" width="11.69921875" style="1" customWidth="1"/>
    <col min="1289" max="1289" width="8.69921875" style="1" customWidth="1"/>
    <col min="1290" max="1290" width="9" style="1"/>
    <col min="1291" max="1291" width="33.19921875" style="1" customWidth="1"/>
    <col min="1292" max="1536" width="9" style="1"/>
    <col min="1537" max="1537" width="2" style="1" customWidth="1"/>
    <col min="1538" max="1538" width="4.8984375" style="1" customWidth="1"/>
    <col min="1539" max="1539" width="8.5" style="1" customWidth="1"/>
    <col min="1540" max="1540" width="14.69921875" style="1" customWidth="1"/>
    <col min="1541" max="1542" width="11.09765625" style="1" customWidth="1"/>
    <col min="1543" max="1543" width="14.09765625" style="1" customWidth="1"/>
    <col min="1544" max="1544" width="11.69921875" style="1" customWidth="1"/>
    <col min="1545" max="1545" width="8.69921875" style="1" customWidth="1"/>
    <col min="1546" max="1546" width="9" style="1"/>
    <col min="1547" max="1547" width="33.19921875" style="1" customWidth="1"/>
    <col min="1548" max="1792" width="9" style="1"/>
    <col min="1793" max="1793" width="2" style="1" customWidth="1"/>
    <col min="1794" max="1794" width="4.8984375" style="1" customWidth="1"/>
    <col min="1795" max="1795" width="8.5" style="1" customWidth="1"/>
    <col min="1796" max="1796" width="14.69921875" style="1" customWidth="1"/>
    <col min="1797" max="1798" width="11.09765625" style="1" customWidth="1"/>
    <col min="1799" max="1799" width="14.09765625" style="1" customWidth="1"/>
    <col min="1800" max="1800" width="11.69921875" style="1" customWidth="1"/>
    <col min="1801" max="1801" width="8.69921875" style="1" customWidth="1"/>
    <col min="1802" max="1802" width="9" style="1"/>
    <col min="1803" max="1803" width="33.19921875" style="1" customWidth="1"/>
    <col min="1804" max="2048" width="9" style="1"/>
    <col min="2049" max="2049" width="2" style="1" customWidth="1"/>
    <col min="2050" max="2050" width="4.8984375" style="1" customWidth="1"/>
    <col min="2051" max="2051" width="8.5" style="1" customWidth="1"/>
    <col min="2052" max="2052" width="14.69921875" style="1" customWidth="1"/>
    <col min="2053" max="2054" width="11.09765625" style="1" customWidth="1"/>
    <col min="2055" max="2055" width="14.09765625" style="1" customWidth="1"/>
    <col min="2056" max="2056" width="11.69921875" style="1" customWidth="1"/>
    <col min="2057" max="2057" width="8.69921875" style="1" customWidth="1"/>
    <col min="2058" max="2058" width="9" style="1"/>
    <col min="2059" max="2059" width="33.19921875" style="1" customWidth="1"/>
    <col min="2060" max="2304" width="9" style="1"/>
    <col min="2305" max="2305" width="2" style="1" customWidth="1"/>
    <col min="2306" max="2306" width="4.8984375" style="1" customWidth="1"/>
    <col min="2307" max="2307" width="8.5" style="1" customWidth="1"/>
    <col min="2308" max="2308" width="14.69921875" style="1" customWidth="1"/>
    <col min="2309" max="2310" width="11.09765625" style="1" customWidth="1"/>
    <col min="2311" max="2311" width="14.09765625" style="1" customWidth="1"/>
    <col min="2312" max="2312" width="11.69921875" style="1" customWidth="1"/>
    <col min="2313" max="2313" width="8.69921875" style="1" customWidth="1"/>
    <col min="2314" max="2314" width="9" style="1"/>
    <col min="2315" max="2315" width="33.19921875" style="1" customWidth="1"/>
    <col min="2316" max="2560" width="9" style="1"/>
    <col min="2561" max="2561" width="2" style="1" customWidth="1"/>
    <col min="2562" max="2562" width="4.8984375" style="1" customWidth="1"/>
    <col min="2563" max="2563" width="8.5" style="1" customWidth="1"/>
    <col min="2564" max="2564" width="14.69921875" style="1" customWidth="1"/>
    <col min="2565" max="2566" width="11.09765625" style="1" customWidth="1"/>
    <col min="2567" max="2567" width="14.09765625" style="1" customWidth="1"/>
    <col min="2568" max="2568" width="11.69921875" style="1" customWidth="1"/>
    <col min="2569" max="2569" width="8.69921875" style="1" customWidth="1"/>
    <col min="2570" max="2570" width="9" style="1"/>
    <col min="2571" max="2571" width="33.19921875" style="1" customWidth="1"/>
    <col min="2572" max="2816" width="9" style="1"/>
    <col min="2817" max="2817" width="2" style="1" customWidth="1"/>
    <col min="2818" max="2818" width="4.8984375" style="1" customWidth="1"/>
    <col min="2819" max="2819" width="8.5" style="1" customWidth="1"/>
    <col min="2820" max="2820" width="14.69921875" style="1" customWidth="1"/>
    <col min="2821" max="2822" width="11.09765625" style="1" customWidth="1"/>
    <col min="2823" max="2823" width="14.09765625" style="1" customWidth="1"/>
    <col min="2824" max="2824" width="11.69921875" style="1" customWidth="1"/>
    <col min="2825" max="2825" width="8.69921875" style="1" customWidth="1"/>
    <col min="2826" max="2826" width="9" style="1"/>
    <col min="2827" max="2827" width="33.19921875" style="1" customWidth="1"/>
    <col min="2828" max="3072" width="9" style="1"/>
    <col min="3073" max="3073" width="2" style="1" customWidth="1"/>
    <col min="3074" max="3074" width="4.8984375" style="1" customWidth="1"/>
    <col min="3075" max="3075" width="8.5" style="1" customWidth="1"/>
    <col min="3076" max="3076" width="14.69921875" style="1" customWidth="1"/>
    <col min="3077" max="3078" width="11.09765625" style="1" customWidth="1"/>
    <col min="3079" max="3079" width="14.09765625" style="1" customWidth="1"/>
    <col min="3080" max="3080" width="11.69921875" style="1" customWidth="1"/>
    <col min="3081" max="3081" width="8.69921875" style="1" customWidth="1"/>
    <col min="3082" max="3082" width="9" style="1"/>
    <col min="3083" max="3083" width="33.19921875" style="1" customWidth="1"/>
    <col min="3084" max="3328" width="9" style="1"/>
    <col min="3329" max="3329" width="2" style="1" customWidth="1"/>
    <col min="3330" max="3330" width="4.8984375" style="1" customWidth="1"/>
    <col min="3331" max="3331" width="8.5" style="1" customWidth="1"/>
    <col min="3332" max="3332" width="14.69921875" style="1" customWidth="1"/>
    <col min="3333" max="3334" width="11.09765625" style="1" customWidth="1"/>
    <col min="3335" max="3335" width="14.09765625" style="1" customWidth="1"/>
    <col min="3336" max="3336" width="11.69921875" style="1" customWidth="1"/>
    <col min="3337" max="3337" width="8.69921875" style="1" customWidth="1"/>
    <col min="3338" max="3338" width="9" style="1"/>
    <col min="3339" max="3339" width="33.19921875" style="1" customWidth="1"/>
    <col min="3340" max="3584" width="9" style="1"/>
    <col min="3585" max="3585" width="2" style="1" customWidth="1"/>
    <col min="3586" max="3586" width="4.8984375" style="1" customWidth="1"/>
    <col min="3587" max="3587" width="8.5" style="1" customWidth="1"/>
    <col min="3588" max="3588" width="14.69921875" style="1" customWidth="1"/>
    <col min="3589" max="3590" width="11.09765625" style="1" customWidth="1"/>
    <col min="3591" max="3591" width="14.09765625" style="1" customWidth="1"/>
    <col min="3592" max="3592" width="11.69921875" style="1" customWidth="1"/>
    <col min="3593" max="3593" width="8.69921875" style="1" customWidth="1"/>
    <col min="3594" max="3594" width="9" style="1"/>
    <col min="3595" max="3595" width="33.19921875" style="1" customWidth="1"/>
    <col min="3596" max="3840" width="9" style="1"/>
    <col min="3841" max="3841" width="2" style="1" customWidth="1"/>
    <col min="3842" max="3842" width="4.8984375" style="1" customWidth="1"/>
    <col min="3843" max="3843" width="8.5" style="1" customWidth="1"/>
    <col min="3844" max="3844" width="14.69921875" style="1" customWidth="1"/>
    <col min="3845" max="3846" width="11.09765625" style="1" customWidth="1"/>
    <col min="3847" max="3847" width="14.09765625" style="1" customWidth="1"/>
    <col min="3848" max="3848" width="11.69921875" style="1" customWidth="1"/>
    <col min="3849" max="3849" width="8.69921875" style="1" customWidth="1"/>
    <col min="3850" max="3850" width="9" style="1"/>
    <col min="3851" max="3851" width="33.19921875" style="1" customWidth="1"/>
    <col min="3852" max="4096" width="9" style="1"/>
    <col min="4097" max="4097" width="2" style="1" customWidth="1"/>
    <col min="4098" max="4098" width="4.8984375" style="1" customWidth="1"/>
    <col min="4099" max="4099" width="8.5" style="1" customWidth="1"/>
    <col min="4100" max="4100" width="14.69921875" style="1" customWidth="1"/>
    <col min="4101" max="4102" width="11.09765625" style="1" customWidth="1"/>
    <col min="4103" max="4103" width="14.09765625" style="1" customWidth="1"/>
    <col min="4104" max="4104" width="11.69921875" style="1" customWidth="1"/>
    <col min="4105" max="4105" width="8.69921875" style="1" customWidth="1"/>
    <col min="4106" max="4106" width="9" style="1"/>
    <col min="4107" max="4107" width="33.19921875" style="1" customWidth="1"/>
    <col min="4108" max="4352" width="9" style="1"/>
    <col min="4353" max="4353" width="2" style="1" customWidth="1"/>
    <col min="4354" max="4354" width="4.8984375" style="1" customWidth="1"/>
    <col min="4355" max="4355" width="8.5" style="1" customWidth="1"/>
    <col min="4356" max="4356" width="14.69921875" style="1" customWidth="1"/>
    <col min="4357" max="4358" width="11.09765625" style="1" customWidth="1"/>
    <col min="4359" max="4359" width="14.09765625" style="1" customWidth="1"/>
    <col min="4360" max="4360" width="11.69921875" style="1" customWidth="1"/>
    <col min="4361" max="4361" width="8.69921875" style="1" customWidth="1"/>
    <col min="4362" max="4362" width="9" style="1"/>
    <col min="4363" max="4363" width="33.19921875" style="1" customWidth="1"/>
    <col min="4364" max="4608" width="9" style="1"/>
    <col min="4609" max="4609" width="2" style="1" customWidth="1"/>
    <col min="4610" max="4610" width="4.8984375" style="1" customWidth="1"/>
    <col min="4611" max="4611" width="8.5" style="1" customWidth="1"/>
    <col min="4612" max="4612" width="14.69921875" style="1" customWidth="1"/>
    <col min="4613" max="4614" width="11.09765625" style="1" customWidth="1"/>
    <col min="4615" max="4615" width="14.09765625" style="1" customWidth="1"/>
    <col min="4616" max="4616" width="11.69921875" style="1" customWidth="1"/>
    <col min="4617" max="4617" width="8.69921875" style="1" customWidth="1"/>
    <col min="4618" max="4618" width="9" style="1"/>
    <col min="4619" max="4619" width="33.19921875" style="1" customWidth="1"/>
    <col min="4620" max="4864" width="9" style="1"/>
    <col min="4865" max="4865" width="2" style="1" customWidth="1"/>
    <col min="4866" max="4866" width="4.8984375" style="1" customWidth="1"/>
    <col min="4867" max="4867" width="8.5" style="1" customWidth="1"/>
    <col min="4868" max="4868" width="14.69921875" style="1" customWidth="1"/>
    <col min="4869" max="4870" width="11.09765625" style="1" customWidth="1"/>
    <col min="4871" max="4871" width="14.09765625" style="1" customWidth="1"/>
    <col min="4872" max="4872" width="11.69921875" style="1" customWidth="1"/>
    <col min="4873" max="4873" width="8.69921875" style="1" customWidth="1"/>
    <col min="4874" max="4874" width="9" style="1"/>
    <col min="4875" max="4875" width="33.19921875" style="1" customWidth="1"/>
    <col min="4876" max="5120" width="9" style="1"/>
    <col min="5121" max="5121" width="2" style="1" customWidth="1"/>
    <col min="5122" max="5122" width="4.8984375" style="1" customWidth="1"/>
    <col min="5123" max="5123" width="8.5" style="1" customWidth="1"/>
    <col min="5124" max="5124" width="14.69921875" style="1" customWidth="1"/>
    <col min="5125" max="5126" width="11.09765625" style="1" customWidth="1"/>
    <col min="5127" max="5127" width="14.09765625" style="1" customWidth="1"/>
    <col min="5128" max="5128" width="11.69921875" style="1" customWidth="1"/>
    <col min="5129" max="5129" width="8.69921875" style="1" customWidth="1"/>
    <col min="5130" max="5130" width="9" style="1"/>
    <col min="5131" max="5131" width="33.19921875" style="1" customWidth="1"/>
    <col min="5132" max="5376" width="9" style="1"/>
    <col min="5377" max="5377" width="2" style="1" customWidth="1"/>
    <col min="5378" max="5378" width="4.8984375" style="1" customWidth="1"/>
    <col min="5379" max="5379" width="8.5" style="1" customWidth="1"/>
    <col min="5380" max="5380" width="14.69921875" style="1" customWidth="1"/>
    <col min="5381" max="5382" width="11.09765625" style="1" customWidth="1"/>
    <col min="5383" max="5383" width="14.09765625" style="1" customWidth="1"/>
    <col min="5384" max="5384" width="11.69921875" style="1" customWidth="1"/>
    <col min="5385" max="5385" width="8.69921875" style="1" customWidth="1"/>
    <col min="5386" max="5386" width="9" style="1"/>
    <col min="5387" max="5387" width="33.19921875" style="1" customWidth="1"/>
    <col min="5388" max="5632" width="9" style="1"/>
    <col min="5633" max="5633" width="2" style="1" customWidth="1"/>
    <col min="5634" max="5634" width="4.8984375" style="1" customWidth="1"/>
    <col min="5635" max="5635" width="8.5" style="1" customWidth="1"/>
    <col min="5636" max="5636" width="14.69921875" style="1" customWidth="1"/>
    <col min="5637" max="5638" width="11.09765625" style="1" customWidth="1"/>
    <col min="5639" max="5639" width="14.09765625" style="1" customWidth="1"/>
    <col min="5640" max="5640" width="11.69921875" style="1" customWidth="1"/>
    <col min="5641" max="5641" width="8.69921875" style="1" customWidth="1"/>
    <col min="5642" max="5642" width="9" style="1"/>
    <col min="5643" max="5643" width="33.19921875" style="1" customWidth="1"/>
    <col min="5644" max="5888" width="9" style="1"/>
    <col min="5889" max="5889" width="2" style="1" customWidth="1"/>
    <col min="5890" max="5890" width="4.8984375" style="1" customWidth="1"/>
    <col min="5891" max="5891" width="8.5" style="1" customWidth="1"/>
    <col min="5892" max="5892" width="14.69921875" style="1" customWidth="1"/>
    <col min="5893" max="5894" width="11.09765625" style="1" customWidth="1"/>
    <col min="5895" max="5895" width="14.09765625" style="1" customWidth="1"/>
    <col min="5896" max="5896" width="11.69921875" style="1" customWidth="1"/>
    <col min="5897" max="5897" width="8.69921875" style="1" customWidth="1"/>
    <col min="5898" max="5898" width="9" style="1"/>
    <col min="5899" max="5899" width="33.19921875" style="1" customWidth="1"/>
    <col min="5900" max="6144" width="9" style="1"/>
    <col min="6145" max="6145" width="2" style="1" customWidth="1"/>
    <col min="6146" max="6146" width="4.8984375" style="1" customWidth="1"/>
    <col min="6147" max="6147" width="8.5" style="1" customWidth="1"/>
    <col min="6148" max="6148" width="14.69921875" style="1" customWidth="1"/>
    <col min="6149" max="6150" width="11.09765625" style="1" customWidth="1"/>
    <col min="6151" max="6151" width="14.09765625" style="1" customWidth="1"/>
    <col min="6152" max="6152" width="11.69921875" style="1" customWidth="1"/>
    <col min="6153" max="6153" width="8.69921875" style="1" customWidth="1"/>
    <col min="6154" max="6154" width="9" style="1"/>
    <col min="6155" max="6155" width="33.19921875" style="1" customWidth="1"/>
    <col min="6156" max="6400" width="9" style="1"/>
    <col min="6401" max="6401" width="2" style="1" customWidth="1"/>
    <col min="6402" max="6402" width="4.8984375" style="1" customWidth="1"/>
    <col min="6403" max="6403" width="8.5" style="1" customWidth="1"/>
    <col min="6404" max="6404" width="14.69921875" style="1" customWidth="1"/>
    <col min="6405" max="6406" width="11.09765625" style="1" customWidth="1"/>
    <col min="6407" max="6407" width="14.09765625" style="1" customWidth="1"/>
    <col min="6408" max="6408" width="11.69921875" style="1" customWidth="1"/>
    <col min="6409" max="6409" width="8.69921875" style="1" customWidth="1"/>
    <col min="6410" max="6410" width="9" style="1"/>
    <col min="6411" max="6411" width="33.19921875" style="1" customWidth="1"/>
    <col min="6412" max="6656" width="9" style="1"/>
    <col min="6657" max="6657" width="2" style="1" customWidth="1"/>
    <col min="6658" max="6658" width="4.8984375" style="1" customWidth="1"/>
    <col min="6659" max="6659" width="8.5" style="1" customWidth="1"/>
    <col min="6660" max="6660" width="14.69921875" style="1" customWidth="1"/>
    <col min="6661" max="6662" width="11.09765625" style="1" customWidth="1"/>
    <col min="6663" max="6663" width="14.09765625" style="1" customWidth="1"/>
    <col min="6664" max="6664" width="11.69921875" style="1" customWidth="1"/>
    <col min="6665" max="6665" width="8.69921875" style="1" customWidth="1"/>
    <col min="6666" max="6666" width="9" style="1"/>
    <col min="6667" max="6667" width="33.19921875" style="1" customWidth="1"/>
    <col min="6668" max="6912" width="9" style="1"/>
    <col min="6913" max="6913" width="2" style="1" customWidth="1"/>
    <col min="6914" max="6914" width="4.8984375" style="1" customWidth="1"/>
    <col min="6915" max="6915" width="8.5" style="1" customWidth="1"/>
    <col min="6916" max="6916" width="14.69921875" style="1" customWidth="1"/>
    <col min="6917" max="6918" width="11.09765625" style="1" customWidth="1"/>
    <col min="6919" max="6919" width="14.09765625" style="1" customWidth="1"/>
    <col min="6920" max="6920" width="11.69921875" style="1" customWidth="1"/>
    <col min="6921" max="6921" width="8.69921875" style="1" customWidth="1"/>
    <col min="6922" max="6922" width="9" style="1"/>
    <col min="6923" max="6923" width="33.19921875" style="1" customWidth="1"/>
    <col min="6924" max="7168" width="9" style="1"/>
    <col min="7169" max="7169" width="2" style="1" customWidth="1"/>
    <col min="7170" max="7170" width="4.8984375" style="1" customWidth="1"/>
    <col min="7171" max="7171" width="8.5" style="1" customWidth="1"/>
    <col min="7172" max="7172" width="14.69921875" style="1" customWidth="1"/>
    <col min="7173" max="7174" width="11.09765625" style="1" customWidth="1"/>
    <col min="7175" max="7175" width="14.09765625" style="1" customWidth="1"/>
    <col min="7176" max="7176" width="11.69921875" style="1" customWidth="1"/>
    <col min="7177" max="7177" width="8.69921875" style="1" customWidth="1"/>
    <col min="7178" max="7178" width="9" style="1"/>
    <col min="7179" max="7179" width="33.19921875" style="1" customWidth="1"/>
    <col min="7180" max="7424" width="9" style="1"/>
    <col min="7425" max="7425" width="2" style="1" customWidth="1"/>
    <col min="7426" max="7426" width="4.8984375" style="1" customWidth="1"/>
    <col min="7427" max="7427" width="8.5" style="1" customWidth="1"/>
    <col min="7428" max="7428" width="14.69921875" style="1" customWidth="1"/>
    <col min="7429" max="7430" width="11.09765625" style="1" customWidth="1"/>
    <col min="7431" max="7431" width="14.09765625" style="1" customWidth="1"/>
    <col min="7432" max="7432" width="11.69921875" style="1" customWidth="1"/>
    <col min="7433" max="7433" width="8.69921875" style="1" customWidth="1"/>
    <col min="7434" max="7434" width="9" style="1"/>
    <col min="7435" max="7435" width="33.19921875" style="1" customWidth="1"/>
    <col min="7436" max="7680" width="9" style="1"/>
    <col min="7681" max="7681" width="2" style="1" customWidth="1"/>
    <col min="7682" max="7682" width="4.8984375" style="1" customWidth="1"/>
    <col min="7683" max="7683" width="8.5" style="1" customWidth="1"/>
    <col min="7684" max="7684" width="14.69921875" style="1" customWidth="1"/>
    <col min="7685" max="7686" width="11.09765625" style="1" customWidth="1"/>
    <col min="7687" max="7687" width="14.09765625" style="1" customWidth="1"/>
    <col min="7688" max="7688" width="11.69921875" style="1" customWidth="1"/>
    <col min="7689" max="7689" width="8.69921875" style="1" customWidth="1"/>
    <col min="7690" max="7690" width="9" style="1"/>
    <col min="7691" max="7691" width="33.19921875" style="1" customWidth="1"/>
    <col min="7692" max="7936" width="9" style="1"/>
    <col min="7937" max="7937" width="2" style="1" customWidth="1"/>
    <col min="7938" max="7938" width="4.8984375" style="1" customWidth="1"/>
    <col min="7939" max="7939" width="8.5" style="1" customWidth="1"/>
    <col min="7940" max="7940" width="14.69921875" style="1" customWidth="1"/>
    <col min="7941" max="7942" width="11.09765625" style="1" customWidth="1"/>
    <col min="7943" max="7943" width="14.09765625" style="1" customWidth="1"/>
    <col min="7944" max="7944" width="11.69921875" style="1" customWidth="1"/>
    <col min="7945" max="7945" width="8.69921875" style="1" customWidth="1"/>
    <col min="7946" max="7946" width="9" style="1"/>
    <col min="7947" max="7947" width="33.19921875" style="1" customWidth="1"/>
    <col min="7948" max="8192" width="9" style="1"/>
    <col min="8193" max="8193" width="2" style="1" customWidth="1"/>
    <col min="8194" max="8194" width="4.8984375" style="1" customWidth="1"/>
    <col min="8195" max="8195" width="8.5" style="1" customWidth="1"/>
    <col min="8196" max="8196" width="14.69921875" style="1" customWidth="1"/>
    <col min="8197" max="8198" width="11.09765625" style="1" customWidth="1"/>
    <col min="8199" max="8199" width="14.09765625" style="1" customWidth="1"/>
    <col min="8200" max="8200" width="11.69921875" style="1" customWidth="1"/>
    <col min="8201" max="8201" width="8.69921875" style="1" customWidth="1"/>
    <col min="8202" max="8202" width="9" style="1"/>
    <col min="8203" max="8203" width="33.19921875" style="1" customWidth="1"/>
    <col min="8204" max="8448" width="9" style="1"/>
    <col min="8449" max="8449" width="2" style="1" customWidth="1"/>
    <col min="8450" max="8450" width="4.8984375" style="1" customWidth="1"/>
    <col min="8451" max="8451" width="8.5" style="1" customWidth="1"/>
    <col min="8452" max="8452" width="14.69921875" style="1" customWidth="1"/>
    <col min="8453" max="8454" width="11.09765625" style="1" customWidth="1"/>
    <col min="8455" max="8455" width="14.09765625" style="1" customWidth="1"/>
    <col min="8456" max="8456" width="11.69921875" style="1" customWidth="1"/>
    <col min="8457" max="8457" width="8.69921875" style="1" customWidth="1"/>
    <col min="8458" max="8458" width="9" style="1"/>
    <col min="8459" max="8459" width="33.19921875" style="1" customWidth="1"/>
    <col min="8460" max="8704" width="9" style="1"/>
    <col min="8705" max="8705" width="2" style="1" customWidth="1"/>
    <col min="8706" max="8706" width="4.8984375" style="1" customWidth="1"/>
    <col min="8707" max="8707" width="8.5" style="1" customWidth="1"/>
    <col min="8708" max="8708" width="14.69921875" style="1" customWidth="1"/>
    <col min="8709" max="8710" width="11.09765625" style="1" customWidth="1"/>
    <col min="8711" max="8711" width="14.09765625" style="1" customWidth="1"/>
    <col min="8712" max="8712" width="11.69921875" style="1" customWidth="1"/>
    <col min="8713" max="8713" width="8.69921875" style="1" customWidth="1"/>
    <col min="8714" max="8714" width="9" style="1"/>
    <col min="8715" max="8715" width="33.19921875" style="1" customWidth="1"/>
    <col min="8716" max="8960" width="9" style="1"/>
    <col min="8961" max="8961" width="2" style="1" customWidth="1"/>
    <col min="8962" max="8962" width="4.8984375" style="1" customWidth="1"/>
    <col min="8963" max="8963" width="8.5" style="1" customWidth="1"/>
    <col min="8964" max="8964" width="14.69921875" style="1" customWidth="1"/>
    <col min="8965" max="8966" width="11.09765625" style="1" customWidth="1"/>
    <col min="8967" max="8967" width="14.09765625" style="1" customWidth="1"/>
    <col min="8968" max="8968" width="11.69921875" style="1" customWidth="1"/>
    <col min="8969" max="8969" width="8.69921875" style="1" customWidth="1"/>
    <col min="8970" max="8970" width="9" style="1"/>
    <col min="8971" max="8971" width="33.19921875" style="1" customWidth="1"/>
    <col min="8972" max="9216" width="9" style="1"/>
    <col min="9217" max="9217" width="2" style="1" customWidth="1"/>
    <col min="9218" max="9218" width="4.8984375" style="1" customWidth="1"/>
    <col min="9219" max="9219" width="8.5" style="1" customWidth="1"/>
    <col min="9220" max="9220" width="14.69921875" style="1" customWidth="1"/>
    <col min="9221" max="9222" width="11.09765625" style="1" customWidth="1"/>
    <col min="9223" max="9223" width="14.09765625" style="1" customWidth="1"/>
    <col min="9224" max="9224" width="11.69921875" style="1" customWidth="1"/>
    <col min="9225" max="9225" width="8.69921875" style="1" customWidth="1"/>
    <col min="9226" max="9226" width="9" style="1"/>
    <col min="9227" max="9227" width="33.19921875" style="1" customWidth="1"/>
    <col min="9228" max="9472" width="9" style="1"/>
    <col min="9473" max="9473" width="2" style="1" customWidth="1"/>
    <col min="9474" max="9474" width="4.8984375" style="1" customWidth="1"/>
    <col min="9475" max="9475" width="8.5" style="1" customWidth="1"/>
    <col min="9476" max="9476" width="14.69921875" style="1" customWidth="1"/>
    <col min="9477" max="9478" width="11.09765625" style="1" customWidth="1"/>
    <col min="9479" max="9479" width="14.09765625" style="1" customWidth="1"/>
    <col min="9480" max="9480" width="11.69921875" style="1" customWidth="1"/>
    <col min="9481" max="9481" width="8.69921875" style="1" customWidth="1"/>
    <col min="9482" max="9482" width="9" style="1"/>
    <col min="9483" max="9483" width="33.19921875" style="1" customWidth="1"/>
    <col min="9484" max="9728" width="9" style="1"/>
    <col min="9729" max="9729" width="2" style="1" customWidth="1"/>
    <col min="9730" max="9730" width="4.8984375" style="1" customWidth="1"/>
    <col min="9731" max="9731" width="8.5" style="1" customWidth="1"/>
    <col min="9732" max="9732" width="14.69921875" style="1" customWidth="1"/>
    <col min="9733" max="9734" width="11.09765625" style="1" customWidth="1"/>
    <col min="9735" max="9735" width="14.09765625" style="1" customWidth="1"/>
    <col min="9736" max="9736" width="11.69921875" style="1" customWidth="1"/>
    <col min="9737" max="9737" width="8.69921875" style="1" customWidth="1"/>
    <col min="9738" max="9738" width="9" style="1"/>
    <col min="9739" max="9739" width="33.19921875" style="1" customWidth="1"/>
    <col min="9740" max="9984" width="9" style="1"/>
    <col min="9985" max="9985" width="2" style="1" customWidth="1"/>
    <col min="9986" max="9986" width="4.8984375" style="1" customWidth="1"/>
    <col min="9987" max="9987" width="8.5" style="1" customWidth="1"/>
    <col min="9988" max="9988" width="14.69921875" style="1" customWidth="1"/>
    <col min="9989" max="9990" width="11.09765625" style="1" customWidth="1"/>
    <col min="9991" max="9991" width="14.09765625" style="1" customWidth="1"/>
    <col min="9992" max="9992" width="11.69921875" style="1" customWidth="1"/>
    <col min="9993" max="9993" width="8.69921875" style="1" customWidth="1"/>
    <col min="9994" max="9994" width="9" style="1"/>
    <col min="9995" max="9995" width="33.19921875" style="1" customWidth="1"/>
    <col min="9996" max="10240" width="9" style="1"/>
    <col min="10241" max="10241" width="2" style="1" customWidth="1"/>
    <col min="10242" max="10242" width="4.8984375" style="1" customWidth="1"/>
    <col min="10243" max="10243" width="8.5" style="1" customWidth="1"/>
    <col min="10244" max="10244" width="14.69921875" style="1" customWidth="1"/>
    <col min="10245" max="10246" width="11.09765625" style="1" customWidth="1"/>
    <col min="10247" max="10247" width="14.09765625" style="1" customWidth="1"/>
    <col min="10248" max="10248" width="11.69921875" style="1" customWidth="1"/>
    <col min="10249" max="10249" width="8.69921875" style="1" customWidth="1"/>
    <col min="10250" max="10250" width="9" style="1"/>
    <col min="10251" max="10251" width="33.19921875" style="1" customWidth="1"/>
    <col min="10252" max="10496" width="9" style="1"/>
    <col min="10497" max="10497" width="2" style="1" customWidth="1"/>
    <col min="10498" max="10498" width="4.8984375" style="1" customWidth="1"/>
    <col min="10499" max="10499" width="8.5" style="1" customWidth="1"/>
    <col min="10500" max="10500" width="14.69921875" style="1" customWidth="1"/>
    <col min="10501" max="10502" width="11.09765625" style="1" customWidth="1"/>
    <col min="10503" max="10503" width="14.09765625" style="1" customWidth="1"/>
    <col min="10504" max="10504" width="11.69921875" style="1" customWidth="1"/>
    <col min="10505" max="10505" width="8.69921875" style="1" customWidth="1"/>
    <col min="10506" max="10506" width="9" style="1"/>
    <col min="10507" max="10507" width="33.19921875" style="1" customWidth="1"/>
    <col min="10508" max="10752" width="9" style="1"/>
    <col min="10753" max="10753" width="2" style="1" customWidth="1"/>
    <col min="10754" max="10754" width="4.8984375" style="1" customWidth="1"/>
    <col min="10755" max="10755" width="8.5" style="1" customWidth="1"/>
    <col min="10756" max="10756" width="14.69921875" style="1" customWidth="1"/>
    <col min="10757" max="10758" width="11.09765625" style="1" customWidth="1"/>
    <col min="10759" max="10759" width="14.09765625" style="1" customWidth="1"/>
    <col min="10760" max="10760" width="11.69921875" style="1" customWidth="1"/>
    <col min="10761" max="10761" width="8.69921875" style="1" customWidth="1"/>
    <col min="10762" max="10762" width="9" style="1"/>
    <col min="10763" max="10763" width="33.19921875" style="1" customWidth="1"/>
    <col min="10764" max="11008" width="9" style="1"/>
    <col min="11009" max="11009" width="2" style="1" customWidth="1"/>
    <col min="11010" max="11010" width="4.8984375" style="1" customWidth="1"/>
    <col min="11011" max="11011" width="8.5" style="1" customWidth="1"/>
    <col min="11012" max="11012" width="14.69921875" style="1" customWidth="1"/>
    <col min="11013" max="11014" width="11.09765625" style="1" customWidth="1"/>
    <col min="11015" max="11015" width="14.09765625" style="1" customWidth="1"/>
    <col min="11016" max="11016" width="11.69921875" style="1" customWidth="1"/>
    <col min="11017" max="11017" width="8.69921875" style="1" customWidth="1"/>
    <col min="11018" max="11018" width="9" style="1"/>
    <col min="11019" max="11019" width="33.19921875" style="1" customWidth="1"/>
    <col min="11020" max="11264" width="9" style="1"/>
    <col min="11265" max="11265" width="2" style="1" customWidth="1"/>
    <col min="11266" max="11266" width="4.8984375" style="1" customWidth="1"/>
    <col min="11267" max="11267" width="8.5" style="1" customWidth="1"/>
    <col min="11268" max="11268" width="14.69921875" style="1" customWidth="1"/>
    <col min="11269" max="11270" width="11.09765625" style="1" customWidth="1"/>
    <col min="11271" max="11271" width="14.09765625" style="1" customWidth="1"/>
    <col min="11272" max="11272" width="11.69921875" style="1" customWidth="1"/>
    <col min="11273" max="11273" width="8.69921875" style="1" customWidth="1"/>
    <col min="11274" max="11274" width="9" style="1"/>
    <col min="11275" max="11275" width="33.19921875" style="1" customWidth="1"/>
    <col min="11276" max="11520" width="9" style="1"/>
    <col min="11521" max="11521" width="2" style="1" customWidth="1"/>
    <col min="11522" max="11522" width="4.8984375" style="1" customWidth="1"/>
    <col min="11523" max="11523" width="8.5" style="1" customWidth="1"/>
    <col min="11524" max="11524" width="14.69921875" style="1" customWidth="1"/>
    <col min="11525" max="11526" width="11.09765625" style="1" customWidth="1"/>
    <col min="11527" max="11527" width="14.09765625" style="1" customWidth="1"/>
    <col min="11528" max="11528" width="11.69921875" style="1" customWidth="1"/>
    <col min="11529" max="11529" width="8.69921875" style="1" customWidth="1"/>
    <col min="11530" max="11530" width="9" style="1"/>
    <col min="11531" max="11531" width="33.19921875" style="1" customWidth="1"/>
    <col min="11532" max="11776" width="9" style="1"/>
    <col min="11777" max="11777" width="2" style="1" customWidth="1"/>
    <col min="11778" max="11778" width="4.8984375" style="1" customWidth="1"/>
    <col min="11779" max="11779" width="8.5" style="1" customWidth="1"/>
    <col min="11780" max="11780" width="14.69921875" style="1" customWidth="1"/>
    <col min="11781" max="11782" width="11.09765625" style="1" customWidth="1"/>
    <col min="11783" max="11783" width="14.09765625" style="1" customWidth="1"/>
    <col min="11784" max="11784" width="11.69921875" style="1" customWidth="1"/>
    <col min="11785" max="11785" width="8.69921875" style="1" customWidth="1"/>
    <col min="11786" max="11786" width="9" style="1"/>
    <col min="11787" max="11787" width="33.19921875" style="1" customWidth="1"/>
    <col min="11788" max="12032" width="9" style="1"/>
    <col min="12033" max="12033" width="2" style="1" customWidth="1"/>
    <col min="12034" max="12034" width="4.8984375" style="1" customWidth="1"/>
    <col min="12035" max="12035" width="8.5" style="1" customWidth="1"/>
    <col min="12036" max="12036" width="14.69921875" style="1" customWidth="1"/>
    <col min="12037" max="12038" width="11.09765625" style="1" customWidth="1"/>
    <col min="12039" max="12039" width="14.09765625" style="1" customWidth="1"/>
    <col min="12040" max="12040" width="11.69921875" style="1" customWidth="1"/>
    <col min="12041" max="12041" width="8.69921875" style="1" customWidth="1"/>
    <col min="12042" max="12042" width="9" style="1"/>
    <col min="12043" max="12043" width="33.19921875" style="1" customWidth="1"/>
    <col min="12044" max="12288" width="9" style="1"/>
    <col min="12289" max="12289" width="2" style="1" customWidth="1"/>
    <col min="12290" max="12290" width="4.8984375" style="1" customWidth="1"/>
    <col min="12291" max="12291" width="8.5" style="1" customWidth="1"/>
    <col min="12292" max="12292" width="14.69921875" style="1" customWidth="1"/>
    <col min="12293" max="12294" width="11.09765625" style="1" customWidth="1"/>
    <col min="12295" max="12295" width="14.09765625" style="1" customWidth="1"/>
    <col min="12296" max="12296" width="11.69921875" style="1" customWidth="1"/>
    <col min="12297" max="12297" width="8.69921875" style="1" customWidth="1"/>
    <col min="12298" max="12298" width="9" style="1"/>
    <col min="12299" max="12299" width="33.19921875" style="1" customWidth="1"/>
    <col min="12300" max="12544" width="9" style="1"/>
    <col min="12545" max="12545" width="2" style="1" customWidth="1"/>
    <col min="12546" max="12546" width="4.8984375" style="1" customWidth="1"/>
    <col min="12547" max="12547" width="8.5" style="1" customWidth="1"/>
    <col min="12548" max="12548" width="14.69921875" style="1" customWidth="1"/>
    <col min="12549" max="12550" width="11.09765625" style="1" customWidth="1"/>
    <col min="12551" max="12551" width="14.09765625" style="1" customWidth="1"/>
    <col min="12552" max="12552" width="11.69921875" style="1" customWidth="1"/>
    <col min="12553" max="12553" width="8.69921875" style="1" customWidth="1"/>
    <col min="12554" max="12554" width="9" style="1"/>
    <col min="12555" max="12555" width="33.19921875" style="1" customWidth="1"/>
    <col min="12556" max="12800" width="9" style="1"/>
    <col min="12801" max="12801" width="2" style="1" customWidth="1"/>
    <col min="12802" max="12802" width="4.8984375" style="1" customWidth="1"/>
    <col min="12803" max="12803" width="8.5" style="1" customWidth="1"/>
    <col min="12804" max="12804" width="14.69921875" style="1" customWidth="1"/>
    <col min="12805" max="12806" width="11.09765625" style="1" customWidth="1"/>
    <col min="12807" max="12807" width="14.09765625" style="1" customWidth="1"/>
    <col min="12808" max="12808" width="11.69921875" style="1" customWidth="1"/>
    <col min="12809" max="12809" width="8.69921875" style="1" customWidth="1"/>
    <col min="12810" max="12810" width="9" style="1"/>
    <col min="12811" max="12811" width="33.19921875" style="1" customWidth="1"/>
    <col min="12812" max="13056" width="9" style="1"/>
    <col min="13057" max="13057" width="2" style="1" customWidth="1"/>
    <col min="13058" max="13058" width="4.8984375" style="1" customWidth="1"/>
    <col min="13059" max="13059" width="8.5" style="1" customWidth="1"/>
    <col min="13060" max="13060" width="14.69921875" style="1" customWidth="1"/>
    <col min="13061" max="13062" width="11.09765625" style="1" customWidth="1"/>
    <col min="13063" max="13063" width="14.09765625" style="1" customWidth="1"/>
    <col min="13064" max="13064" width="11.69921875" style="1" customWidth="1"/>
    <col min="13065" max="13065" width="8.69921875" style="1" customWidth="1"/>
    <col min="13066" max="13066" width="9" style="1"/>
    <col min="13067" max="13067" width="33.19921875" style="1" customWidth="1"/>
    <col min="13068" max="13312" width="9" style="1"/>
    <col min="13313" max="13313" width="2" style="1" customWidth="1"/>
    <col min="13314" max="13314" width="4.8984375" style="1" customWidth="1"/>
    <col min="13315" max="13315" width="8.5" style="1" customWidth="1"/>
    <col min="13316" max="13316" width="14.69921875" style="1" customWidth="1"/>
    <col min="13317" max="13318" width="11.09765625" style="1" customWidth="1"/>
    <col min="13319" max="13319" width="14.09765625" style="1" customWidth="1"/>
    <col min="13320" max="13320" width="11.69921875" style="1" customWidth="1"/>
    <col min="13321" max="13321" width="8.69921875" style="1" customWidth="1"/>
    <col min="13322" max="13322" width="9" style="1"/>
    <col min="13323" max="13323" width="33.19921875" style="1" customWidth="1"/>
    <col min="13324" max="13568" width="9" style="1"/>
    <col min="13569" max="13569" width="2" style="1" customWidth="1"/>
    <col min="13570" max="13570" width="4.8984375" style="1" customWidth="1"/>
    <col min="13571" max="13571" width="8.5" style="1" customWidth="1"/>
    <col min="13572" max="13572" width="14.69921875" style="1" customWidth="1"/>
    <col min="13573" max="13574" width="11.09765625" style="1" customWidth="1"/>
    <col min="13575" max="13575" width="14.09765625" style="1" customWidth="1"/>
    <col min="13576" max="13576" width="11.69921875" style="1" customWidth="1"/>
    <col min="13577" max="13577" width="8.69921875" style="1" customWidth="1"/>
    <col min="13578" max="13578" width="9" style="1"/>
    <col min="13579" max="13579" width="33.19921875" style="1" customWidth="1"/>
    <col min="13580" max="13824" width="9" style="1"/>
    <col min="13825" max="13825" width="2" style="1" customWidth="1"/>
    <col min="13826" max="13826" width="4.8984375" style="1" customWidth="1"/>
    <col min="13827" max="13827" width="8.5" style="1" customWidth="1"/>
    <col min="13828" max="13828" width="14.69921875" style="1" customWidth="1"/>
    <col min="13829" max="13830" width="11.09765625" style="1" customWidth="1"/>
    <col min="13831" max="13831" width="14.09765625" style="1" customWidth="1"/>
    <col min="13832" max="13832" width="11.69921875" style="1" customWidth="1"/>
    <col min="13833" max="13833" width="8.69921875" style="1" customWidth="1"/>
    <col min="13834" max="13834" width="9" style="1"/>
    <col min="13835" max="13835" width="33.19921875" style="1" customWidth="1"/>
    <col min="13836" max="14080" width="9" style="1"/>
    <col min="14081" max="14081" width="2" style="1" customWidth="1"/>
    <col min="14082" max="14082" width="4.8984375" style="1" customWidth="1"/>
    <col min="14083" max="14083" width="8.5" style="1" customWidth="1"/>
    <col min="14084" max="14084" width="14.69921875" style="1" customWidth="1"/>
    <col min="14085" max="14086" width="11.09765625" style="1" customWidth="1"/>
    <col min="14087" max="14087" width="14.09765625" style="1" customWidth="1"/>
    <col min="14088" max="14088" width="11.69921875" style="1" customWidth="1"/>
    <col min="14089" max="14089" width="8.69921875" style="1" customWidth="1"/>
    <col min="14090" max="14090" width="9" style="1"/>
    <col min="14091" max="14091" width="33.19921875" style="1" customWidth="1"/>
    <col min="14092" max="14336" width="9" style="1"/>
    <col min="14337" max="14337" width="2" style="1" customWidth="1"/>
    <col min="14338" max="14338" width="4.8984375" style="1" customWidth="1"/>
    <col min="14339" max="14339" width="8.5" style="1" customWidth="1"/>
    <col min="14340" max="14340" width="14.69921875" style="1" customWidth="1"/>
    <col min="14341" max="14342" width="11.09765625" style="1" customWidth="1"/>
    <col min="14343" max="14343" width="14.09765625" style="1" customWidth="1"/>
    <col min="14344" max="14344" width="11.69921875" style="1" customWidth="1"/>
    <col min="14345" max="14345" width="8.69921875" style="1" customWidth="1"/>
    <col min="14346" max="14346" width="9" style="1"/>
    <col min="14347" max="14347" width="33.19921875" style="1" customWidth="1"/>
    <col min="14348" max="14592" width="9" style="1"/>
    <col min="14593" max="14593" width="2" style="1" customWidth="1"/>
    <col min="14594" max="14594" width="4.8984375" style="1" customWidth="1"/>
    <col min="14595" max="14595" width="8.5" style="1" customWidth="1"/>
    <col min="14596" max="14596" width="14.69921875" style="1" customWidth="1"/>
    <col min="14597" max="14598" width="11.09765625" style="1" customWidth="1"/>
    <col min="14599" max="14599" width="14.09765625" style="1" customWidth="1"/>
    <col min="14600" max="14600" width="11.69921875" style="1" customWidth="1"/>
    <col min="14601" max="14601" width="8.69921875" style="1" customWidth="1"/>
    <col min="14602" max="14602" width="9" style="1"/>
    <col min="14603" max="14603" width="33.19921875" style="1" customWidth="1"/>
    <col min="14604" max="14848" width="9" style="1"/>
    <col min="14849" max="14849" width="2" style="1" customWidth="1"/>
    <col min="14850" max="14850" width="4.8984375" style="1" customWidth="1"/>
    <col min="14851" max="14851" width="8.5" style="1" customWidth="1"/>
    <col min="14852" max="14852" width="14.69921875" style="1" customWidth="1"/>
    <col min="14853" max="14854" width="11.09765625" style="1" customWidth="1"/>
    <col min="14855" max="14855" width="14.09765625" style="1" customWidth="1"/>
    <col min="14856" max="14856" width="11.69921875" style="1" customWidth="1"/>
    <col min="14857" max="14857" width="8.69921875" style="1" customWidth="1"/>
    <col min="14858" max="14858" width="9" style="1"/>
    <col min="14859" max="14859" width="33.19921875" style="1" customWidth="1"/>
    <col min="14860" max="15104" width="9" style="1"/>
    <col min="15105" max="15105" width="2" style="1" customWidth="1"/>
    <col min="15106" max="15106" width="4.8984375" style="1" customWidth="1"/>
    <col min="15107" max="15107" width="8.5" style="1" customWidth="1"/>
    <col min="15108" max="15108" width="14.69921875" style="1" customWidth="1"/>
    <col min="15109" max="15110" width="11.09765625" style="1" customWidth="1"/>
    <col min="15111" max="15111" width="14.09765625" style="1" customWidth="1"/>
    <col min="15112" max="15112" width="11.69921875" style="1" customWidth="1"/>
    <col min="15113" max="15113" width="8.69921875" style="1" customWidth="1"/>
    <col min="15114" max="15114" width="9" style="1"/>
    <col min="15115" max="15115" width="33.19921875" style="1" customWidth="1"/>
    <col min="15116" max="15360" width="9" style="1"/>
    <col min="15361" max="15361" width="2" style="1" customWidth="1"/>
    <col min="15362" max="15362" width="4.8984375" style="1" customWidth="1"/>
    <col min="15363" max="15363" width="8.5" style="1" customWidth="1"/>
    <col min="15364" max="15364" width="14.69921875" style="1" customWidth="1"/>
    <col min="15365" max="15366" width="11.09765625" style="1" customWidth="1"/>
    <col min="15367" max="15367" width="14.09765625" style="1" customWidth="1"/>
    <col min="15368" max="15368" width="11.69921875" style="1" customWidth="1"/>
    <col min="15369" max="15369" width="8.69921875" style="1" customWidth="1"/>
    <col min="15370" max="15370" width="9" style="1"/>
    <col min="15371" max="15371" width="33.19921875" style="1" customWidth="1"/>
    <col min="15372" max="15616" width="9" style="1"/>
    <col min="15617" max="15617" width="2" style="1" customWidth="1"/>
    <col min="15618" max="15618" width="4.8984375" style="1" customWidth="1"/>
    <col min="15619" max="15619" width="8.5" style="1" customWidth="1"/>
    <col min="15620" max="15620" width="14.69921875" style="1" customWidth="1"/>
    <col min="15621" max="15622" width="11.09765625" style="1" customWidth="1"/>
    <col min="15623" max="15623" width="14.09765625" style="1" customWidth="1"/>
    <col min="15624" max="15624" width="11.69921875" style="1" customWidth="1"/>
    <col min="15625" max="15625" width="8.69921875" style="1" customWidth="1"/>
    <col min="15626" max="15626" width="9" style="1"/>
    <col min="15627" max="15627" width="33.19921875" style="1" customWidth="1"/>
    <col min="15628" max="15872" width="9" style="1"/>
    <col min="15873" max="15873" width="2" style="1" customWidth="1"/>
    <col min="15874" max="15874" width="4.8984375" style="1" customWidth="1"/>
    <col min="15875" max="15875" width="8.5" style="1" customWidth="1"/>
    <col min="15876" max="15876" width="14.69921875" style="1" customWidth="1"/>
    <col min="15877" max="15878" width="11.09765625" style="1" customWidth="1"/>
    <col min="15879" max="15879" width="14.09765625" style="1" customWidth="1"/>
    <col min="15880" max="15880" width="11.69921875" style="1" customWidth="1"/>
    <col min="15881" max="15881" width="8.69921875" style="1" customWidth="1"/>
    <col min="15882" max="15882" width="9" style="1"/>
    <col min="15883" max="15883" width="33.19921875" style="1" customWidth="1"/>
    <col min="15884" max="16128" width="9" style="1"/>
    <col min="16129" max="16129" width="2" style="1" customWidth="1"/>
    <col min="16130" max="16130" width="4.8984375" style="1" customWidth="1"/>
    <col min="16131" max="16131" width="8.5" style="1" customWidth="1"/>
    <col min="16132" max="16132" width="14.69921875" style="1" customWidth="1"/>
    <col min="16133" max="16134" width="11.09765625" style="1" customWidth="1"/>
    <col min="16135" max="16135" width="14.09765625" style="1" customWidth="1"/>
    <col min="16136" max="16136" width="11.69921875" style="1" customWidth="1"/>
    <col min="16137" max="16137" width="8.69921875" style="1" customWidth="1"/>
    <col min="16138" max="16138" width="9" style="1"/>
    <col min="16139" max="16139" width="33.19921875" style="1" customWidth="1"/>
    <col min="16140" max="16384" width="9" style="1"/>
  </cols>
  <sheetData>
    <row r="1" spans="2:9">
      <c r="B1" s="1" t="s">
        <v>0</v>
      </c>
    </row>
    <row r="2" spans="2:9" ht="38.4">
      <c r="B2" s="412" t="s">
        <v>1</v>
      </c>
      <c r="C2" s="412"/>
      <c r="D2" s="412"/>
      <c r="E2" s="412"/>
      <c r="F2" s="412"/>
      <c r="G2" s="412"/>
      <c r="H2" s="412"/>
      <c r="I2" s="412"/>
    </row>
    <row r="4" spans="2:9" s="2" customFormat="1" ht="24" customHeight="1">
      <c r="B4" s="413" t="s">
        <v>404</v>
      </c>
      <c r="C4" s="413"/>
      <c r="D4" s="413"/>
      <c r="G4" s="384" t="s">
        <v>390</v>
      </c>
      <c r="H4" s="385"/>
      <c r="I4" s="386"/>
    </row>
    <row r="5" spans="2:9" s="2" customFormat="1" ht="21.75" customHeight="1">
      <c r="B5" s="414" t="s">
        <v>2</v>
      </c>
      <c r="C5" s="415"/>
      <c r="D5" s="3">
        <v>45910</v>
      </c>
      <c r="E5" s="4"/>
      <c r="G5" s="387" t="s">
        <v>392</v>
      </c>
      <c r="H5" s="388"/>
      <c r="I5" s="389"/>
    </row>
    <row r="6" spans="2:9" s="2" customFormat="1" ht="21.75" customHeight="1">
      <c r="B6" s="414" t="s">
        <v>3</v>
      </c>
      <c r="C6" s="415"/>
      <c r="D6" s="5" t="s">
        <v>402</v>
      </c>
      <c r="E6" s="4"/>
      <c r="G6" s="387" t="s">
        <v>393</v>
      </c>
      <c r="H6" s="388"/>
      <c r="I6" s="389"/>
    </row>
    <row r="7" spans="2:9" s="2" customFormat="1" ht="21.75" customHeight="1">
      <c r="B7" s="416" t="s">
        <v>4</v>
      </c>
      <c r="C7" s="6" t="s">
        <v>5</v>
      </c>
      <c r="D7" s="5"/>
      <c r="E7" s="4"/>
      <c r="G7" s="387"/>
      <c r="H7" s="388"/>
      <c r="I7" s="389"/>
    </row>
    <row r="8" spans="2:9" s="2" customFormat="1" ht="21.75" customHeight="1">
      <c r="B8" s="416"/>
      <c r="C8" s="6" t="s">
        <v>6</v>
      </c>
      <c r="D8" s="5"/>
      <c r="E8" s="4"/>
      <c r="G8" s="387" t="s">
        <v>394</v>
      </c>
      <c r="H8" s="388"/>
      <c r="I8" s="389"/>
    </row>
    <row r="9" spans="2:9" s="2" customFormat="1" ht="21.75" customHeight="1">
      <c r="B9" s="414" t="s">
        <v>7</v>
      </c>
      <c r="C9" s="415"/>
      <c r="D9" s="5" t="s">
        <v>8</v>
      </c>
      <c r="E9" s="4"/>
      <c r="G9" s="387" t="s">
        <v>395</v>
      </c>
      <c r="H9" s="388"/>
      <c r="I9" s="389"/>
    </row>
    <row r="10" spans="2:9" s="2" customFormat="1" ht="21.75" customHeight="1">
      <c r="B10" s="414" t="s">
        <v>9</v>
      </c>
      <c r="C10" s="415"/>
      <c r="D10" s="5" t="s">
        <v>400</v>
      </c>
      <c r="E10" s="4"/>
      <c r="G10" s="387" t="s">
        <v>396</v>
      </c>
      <c r="H10" s="388" t="s">
        <v>397</v>
      </c>
      <c r="I10" s="389"/>
    </row>
    <row r="11" spans="2:9" s="2" customFormat="1" ht="21.75" customHeight="1">
      <c r="B11" s="414" t="s">
        <v>10</v>
      </c>
      <c r="C11" s="415"/>
      <c r="D11" s="5" t="s">
        <v>11</v>
      </c>
      <c r="E11" s="4"/>
      <c r="G11" s="390" t="s">
        <v>12</v>
      </c>
      <c r="H11" s="391" t="s">
        <v>398</v>
      </c>
      <c r="I11" s="392"/>
    </row>
    <row r="12" spans="2:9" s="8" customFormat="1" ht="10.5" customHeight="1">
      <c r="B12" s="7"/>
      <c r="I12" s="9"/>
    </row>
    <row r="13" spans="2:9" s="8" customFormat="1" ht="24.9" customHeight="1">
      <c r="B13" s="417" t="s">
        <v>391</v>
      </c>
      <c r="C13" s="417"/>
      <c r="D13" s="383" t="s">
        <v>401</v>
      </c>
      <c r="E13" s="383"/>
      <c r="F13" s="383"/>
      <c r="G13" s="10"/>
      <c r="H13" s="10"/>
      <c r="I13" s="10"/>
    </row>
    <row r="14" spans="2:9" s="8" customFormat="1" ht="24.9" customHeight="1">
      <c r="B14" s="417" t="s">
        <v>13</v>
      </c>
      <c r="C14" s="417"/>
      <c r="D14" s="418" t="str">
        <f>"一金"&amp;NUMBERSTRING(H34*1000,1)&amp;"원整"</f>
        <v>一金삼십팔억원整</v>
      </c>
      <c r="E14" s="419"/>
      <c r="F14" s="419"/>
      <c r="G14" s="405">
        <f>H34*1000</f>
        <v>3799999999.9999995</v>
      </c>
      <c r="H14" s="405"/>
      <c r="I14" s="10" t="s">
        <v>14</v>
      </c>
    </row>
    <row r="15" spans="2:9" s="2" customFormat="1" ht="8.25" customHeight="1"/>
    <row r="16" spans="2:9" s="11" customFormat="1" ht="24.9" customHeight="1">
      <c r="B16" s="399" t="s">
        <v>15</v>
      </c>
      <c r="C16" s="401" t="s">
        <v>16</v>
      </c>
      <c r="D16" s="402"/>
      <c r="E16" s="400" t="s">
        <v>17</v>
      </c>
      <c r="F16" s="400"/>
      <c r="G16" s="400"/>
      <c r="H16" s="400"/>
      <c r="I16" s="399" t="s">
        <v>18</v>
      </c>
    </row>
    <row r="17" spans="2:11" s="11" customFormat="1" ht="29.25" customHeight="1">
      <c r="B17" s="400"/>
      <c r="C17" s="403"/>
      <c r="D17" s="404"/>
      <c r="E17" s="12" t="s">
        <v>19</v>
      </c>
      <c r="F17" s="13" t="s">
        <v>20</v>
      </c>
      <c r="G17" s="14" t="s">
        <v>21</v>
      </c>
      <c r="H17" s="15" t="s">
        <v>22</v>
      </c>
      <c r="I17" s="400"/>
    </row>
    <row r="18" spans="2:11" ht="24.9" hidden="1" customHeight="1">
      <c r="B18" s="16">
        <v>1</v>
      </c>
      <c r="C18" s="408">
        <f>단위장비1!C1</f>
        <v>0</v>
      </c>
      <c r="D18" s="409"/>
      <c r="E18" s="17" t="str">
        <f>IF('단위공사별(집계)'!N7&gt;1,('단위공사별(집계)'!D7+'단위공사별(집계)'!E7+'단위공사별(집계)'!F7+'단위공사별(집계)'!G7+'단위공사별(집계)'!H7+'단위공사별(집계)'!I7)/1000," ")</f>
        <v xml:space="preserve"> </v>
      </c>
      <c r="F18" s="452">
        <f>SUM('단위공사별(집계)'!K23)/1000</f>
        <v>755050.00000000012</v>
      </c>
      <c r="G18" s="18" t="str">
        <f>IF('단위공사별(집계)'!N7&gt;0,('단위공사별(집계)'!L7+'단위공사별(집계)'!M7)/1000,"")</f>
        <v/>
      </c>
      <c r="H18" s="19" t="str">
        <f>IF('단위공사별(집계)'!N7&gt;0,'단위공사별(집계)'!N7/1000,"")</f>
        <v/>
      </c>
      <c r="I18" s="20"/>
    </row>
    <row r="19" spans="2:11" ht="24.9" hidden="1" customHeight="1">
      <c r="B19" s="21">
        <v>2</v>
      </c>
      <c r="C19" s="406">
        <f>단위장비2!C1</f>
        <v>0</v>
      </c>
      <c r="D19" s="407"/>
      <c r="E19" s="22" t="str">
        <f>IF('단위공사별(집계)'!N8&gt;1,('단위공사별(집계)'!D8+'단위공사별(집계)'!E8+'단위공사별(집계)'!F8+'단위공사별(집계)'!G8+'단위공사별(집계)'!H8+'단위공사별(집계)'!I8)/1000," ")</f>
        <v xml:space="preserve"> </v>
      </c>
      <c r="F19" s="453"/>
      <c r="G19" s="23" t="str">
        <f>IF('단위공사별(집계)'!N8&gt;0,('단위공사별(집계)'!L8+'단위공사별(집계)'!M8)/1000,"")</f>
        <v/>
      </c>
      <c r="H19" s="24" t="str">
        <f>IF('단위공사별(집계)'!N8&gt;0,'단위공사별(집계)'!N8/1000,"")</f>
        <v/>
      </c>
      <c r="I19" s="25"/>
    </row>
    <row r="20" spans="2:11" ht="24.9" customHeight="1">
      <c r="B20" s="21">
        <v>1</v>
      </c>
      <c r="C20" s="406" t="str">
        <f>단위장비3!C1</f>
        <v>바니쉬 도포기</v>
      </c>
      <c r="D20" s="407"/>
      <c r="E20" s="393">
        <f>IF('단위공사별(집계)'!N9&gt;1,('단위공사별(집계)'!D9+'단위공사별(집계)'!E9+'단위공사별(집계)'!F9+'단위공사별(집계)'!G9+'단위공사별(집계)'!H9+'단위공사별(집계)'!I9)/1000," ")</f>
        <v>878513.79810201202</v>
      </c>
      <c r="F20" s="453"/>
      <c r="G20" s="23">
        <f>IF('단위공사별(집계)'!N9&gt;0,('단위공사별(집계)'!L9+'단위공사별(집계)'!M9)/1000,"")</f>
        <v>0</v>
      </c>
      <c r="H20" s="24">
        <f>IF('단위공사별(집계)'!N9&gt;0,'단위공사별(집계)'!N9/1000,"")</f>
        <v>1129112.3523840816</v>
      </c>
      <c r="I20" s="26"/>
    </row>
    <row r="21" spans="2:11" ht="24.9" customHeight="1">
      <c r="B21" s="21">
        <v>2</v>
      </c>
      <c r="C21" s="406" t="str">
        <f>단위장비4!C1</f>
        <v>와이어 포밍기</v>
      </c>
      <c r="D21" s="407"/>
      <c r="E21" s="393">
        <f>IF('단위공사별(집계)'!N10&gt;1,('단위공사별(집계)'!D10+'단위공사별(집계)'!E10+'단위공사별(집계)'!F10+'단위공사별(집계)'!G10+'단위공사별(집계)'!H10+'단위공사별(집계)'!I10)/1000," ")</f>
        <v>127336.41063801001</v>
      </c>
      <c r="F21" s="453"/>
      <c r="G21" s="23">
        <f>IF('단위공사별(집계)'!N10&gt;0,('단위공사별(집계)'!L10+'단위공사별(집계)'!M10)/1000,"")</f>
        <v>0</v>
      </c>
      <c r="H21" s="24">
        <f>IF('단위공사별(집계)'!N10&gt;0,'단위공사별(집계)'!N10/1000,"")</f>
        <v>163659.48317516767</v>
      </c>
      <c r="I21" s="26"/>
    </row>
    <row r="22" spans="2:11" ht="24.9" customHeight="1">
      <c r="B22" s="21">
        <v>3</v>
      </c>
      <c r="C22" s="406" t="str">
        <f>단위장비5!C1</f>
        <v>터미널 조립기</v>
      </c>
      <c r="D22" s="407"/>
      <c r="E22" s="393">
        <f>IF('단위공사별(집계)'!N11&gt;1,('단위공사별(집계)'!D11+'단위공사별(집계)'!E11+'단위공사별(집계)'!F11+'단위공사별(집계)'!G11+'단위공사별(집계)'!H11+'단위공사별(집계)'!I11)/1000," ")</f>
        <v>109430.52726183343</v>
      </c>
      <c r="F22" s="453"/>
      <c r="G22" s="23">
        <f>IF('단위공사별(집계)'!N11&gt;0,('단위공사별(집계)'!L11+'단위공사별(집계)'!M11)/1000,"")</f>
        <v>0</v>
      </c>
      <c r="H22" s="24">
        <f>IF('단위공사별(집계)'!N11&gt;0,'단위공사별(집계)'!N11/1000,"")</f>
        <v>140645.89574595564</v>
      </c>
      <c r="I22" s="26"/>
    </row>
    <row r="23" spans="2:11" ht="24.9" customHeight="1">
      <c r="B23" s="21">
        <v>4</v>
      </c>
      <c r="C23" s="406" t="str">
        <f>단위장비6!C1</f>
        <v>코킹 &amp; 컷팅기</v>
      </c>
      <c r="D23" s="407"/>
      <c r="E23" s="393">
        <f>IF('단위공사별(집계)'!N12&gt;1,('단위공사별(집계)'!D12+'단위공사별(집계)'!E12+'단위공사별(집계)'!F12+'단위공사별(집계)'!G12+'단위공사별(집계)'!H12+'단위공사별(집계)'!I12)/1000," ")</f>
        <v>184174.80044067337</v>
      </c>
      <c r="F23" s="453"/>
      <c r="G23" s="23">
        <f>IF('단위공사별(집계)'!N12&gt;0,('단위공사별(집계)'!L12+'단위공사별(집계)'!M12)/1000,"")</f>
        <v>0</v>
      </c>
      <c r="H23" s="24">
        <f>IF('단위공사별(집계)'!N12&gt;0,'단위공사별(집계)'!N12/1000,"")</f>
        <v>236711.18498618063</v>
      </c>
      <c r="I23" s="26"/>
    </row>
    <row r="24" spans="2:11" ht="24.9" customHeight="1">
      <c r="B24" s="21">
        <v>5</v>
      </c>
      <c r="C24" s="406" t="str">
        <f>단위장비7!C1</f>
        <v>퓨징기</v>
      </c>
      <c r="D24" s="407"/>
      <c r="E24" s="393">
        <f>IF('단위공사별(집계)'!N13&gt;1,('단위공사별(집계)'!D13+'단위공사별(집계)'!E13+'단위공사별(집계)'!F13+'단위공사별(집계)'!G13+'단위공사별(집계)'!H13+'단위공사별(집계)'!I13)/1000," ")</f>
        <v>470668.93445949862</v>
      </c>
      <c r="F24" s="453"/>
      <c r="G24" s="23">
        <f>IF('단위공사별(집계)'!N13&gt;0,('단위공사별(집계)'!L13+'단위공사별(집계)'!M13)/1000,"")</f>
        <v>0</v>
      </c>
      <c r="H24" s="24">
        <f>IF('단위공사별(집계)'!N13&gt;0,'단위공사별(집계)'!N13/1000,"")</f>
        <v>604928.58385357272</v>
      </c>
      <c r="I24" s="26"/>
    </row>
    <row r="25" spans="2:11" ht="24.9" hidden="1" customHeight="1">
      <c r="B25" s="27">
        <v>8</v>
      </c>
      <c r="C25" s="406">
        <f>단위장비8!C1</f>
        <v>0</v>
      </c>
      <c r="D25" s="407"/>
      <c r="E25" s="393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453"/>
      <c r="G25" s="23" t="str">
        <f>IF('단위공사별(집계)'!N14&gt;0,('단위공사별(집계)'!L14+'단위공사별(집계)'!M14)/1000,"")</f>
        <v/>
      </c>
      <c r="H25" s="24" t="str">
        <f>IF('단위공사별(집계)'!N14&gt;0,'단위공사별(집계)'!N14/1000,"")</f>
        <v/>
      </c>
      <c r="I25" s="26"/>
    </row>
    <row r="26" spans="2:11" ht="24.9" customHeight="1">
      <c r="B26" s="27">
        <v>6</v>
      </c>
      <c r="C26" s="406" t="str">
        <f>단위장비9!C1</f>
        <v>온도센서 조립 및 에폭시 도포</v>
      </c>
      <c r="D26" s="407"/>
      <c r="E26" s="393">
        <f>IF('단위공사별(집계)'!N15&gt;1,('단위공사별(집계)'!D15+'단위공사별(집계)'!E15+'단위공사별(집계)'!F15+'단위공사별(집계)'!G15+'단위공사별(집계)'!H15+'단위공사별(집계)'!I15)/1000," ")</f>
        <v>101551.93857631575</v>
      </c>
      <c r="F26" s="453"/>
      <c r="G26" s="23">
        <f>IF('단위공사별(집계)'!N15&gt;0,('단위공사별(집계)'!L15+'단위공사별(집계)'!M15)/1000,"")</f>
        <v>0</v>
      </c>
      <c r="H26" s="24">
        <f>IF('단위공사별(집계)'!N15&gt;0,'단위공사별(집계)'!N15/1000,"")</f>
        <v>130519.91727710239</v>
      </c>
      <c r="I26" s="26"/>
    </row>
    <row r="27" spans="2:11" ht="24.9" customHeight="1">
      <c r="B27" s="319">
        <v>7</v>
      </c>
      <c r="C27" s="410" t="str">
        <f>단위장비10!C1</f>
        <v>에폭시 도포기</v>
      </c>
      <c r="D27" s="411"/>
      <c r="E27" s="394">
        <f>IF('단위공사별(집계)'!N16&gt;1,('단위공사별(집계)'!D16+'단위공사별(집계)'!E16+'단위공사별(집계)'!F16+'단위공사별(집계)'!G16+'단위공사별(집계)'!H16+'단위공사별(집계)'!I16)/1000," ")</f>
        <v>341490.77581708186</v>
      </c>
      <c r="F27" s="453"/>
      <c r="G27" s="320">
        <f>IF('단위공사별(집계)'!N16&gt;0,('단위공사별(집계)'!L16+'단위공사별(집계)'!M16)/1000,"")</f>
        <v>0</v>
      </c>
      <c r="H27" s="321">
        <f>IF('단위공사별(집계)'!N16&gt;0,'단위공사별(집계)'!N16/1000,"")</f>
        <v>438901.98882854322</v>
      </c>
      <c r="I27" s="322"/>
      <c r="K27" s="397"/>
    </row>
    <row r="28" spans="2:11" ht="24.9" customHeight="1">
      <c r="B28" s="27">
        <v>8</v>
      </c>
      <c r="C28" s="406" t="str">
        <f>단위장비11!C1</f>
        <v>에폭시 경화/냉각 및 온도센서 탈거</v>
      </c>
      <c r="D28" s="407"/>
      <c r="E28" s="393">
        <f>IF('단위공사별(집계)'!N17&gt;1,('단위공사별(집계)'!D17+'단위공사별(집계)'!E17+'단위공사별(집계)'!F17+'단위공사별(집계)'!G17+'단위공사별(집계)'!H17+'단위공사별(집계)'!I17)/1000," ")</f>
        <v>433782.81470457488</v>
      </c>
      <c r="F28" s="453"/>
      <c r="G28" s="320">
        <f>IF('단위공사별(집계)'!N17&gt;0,('단위공사별(집계)'!L17+'단위공사별(집계)'!M17)/1000,"")</f>
        <v>0</v>
      </c>
      <c r="H28" s="321">
        <f>IF('단위공사별(집계)'!N17&gt;0,'단위공사별(집계)'!N17/1000,"")</f>
        <v>557520.59374939592</v>
      </c>
      <c r="I28" s="26"/>
      <c r="K28" s="397"/>
    </row>
    <row r="29" spans="2:11" ht="24.9" hidden="1" customHeight="1">
      <c r="B29" s="27">
        <v>12</v>
      </c>
      <c r="C29" s="406">
        <f>단위장비12!C1</f>
        <v>0</v>
      </c>
      <c r="D29" s="407"/>
      <c r="E29" s="393" t="str">
        <f>IF('단위공사별(집계)'!N18&gt;1,('단위공사별(집계)'!D18+'단위공사별(집계)'!E18+'단위공사별(집계)'!F18+'단위공사별(집계)'!G18+'단위공사별(집계)'!H18+'단위공사별(집계)'!I18)/1000," ")</f>
        <v xml:space="preserve"> </v>
      </c>
      <c r="F29" s="453"/>
      <c r="G29" s="320" t="str">
        <f>IF('단위공사별(집계)'!N18&gt;0,('단위공사별(집계)'!L18+'단위공사별(집계)'!M18)/1000,"")</f>
        <v/>
      </c>
      <c r="H29" s="321" t="str">
        <f>IF('단위공사별(집계)'!N18&gt;0,'단위공사별(집계)'!N18/1000,"")</f>
        <v/>
      </c>
      <c r="I29" s="26"/>
      <c r="K29" s="397"/>
    </row>
    <row r="30" spans="2:11" ht="24.9" hidden="1" customHeight="1">
      <c r="B30" s="27">
        <v>13</v>
      </c>
      <c r="C30" s="406">
        <f>단위장비13!C1</f>
        <v>0</v>
      </c>
      <c r="D30" s="407"/>
      <c r="E30" s="393" t="str">
        <f>IF('단위공사별(집계)'!N19&gt;1,('단위공사별(집계)'!D19+'단위공사별(집계)'!E19+'단위공사별(집계)'!F19+'단위공사별(집계)'!G19+'단위공사별(집계)'!H19+'단위공사별(집계)'!I19)/1000," ")</f>
        <v xml:space="preserve"> </v>
      </c>
      <c r="F30" s="453"/>
      <c r="G30" s="320" t="str">
        <f>IF('단위공사별(집계)'!N19&gt;0,('단위공사별(집계)'!L19+'단위공사별(집계)'!M19)/1000,"")</f>
        <v/>
      </c>
      <c r="H30" s="321" t="str">
        <f>IF('단위공사별(집계)'!N19&gt;0,'단위공사별(집계)'!N19/1000,"")</f>
        <v/>
      </c>
      <c r="I30" s="26"/>
      <c r="K30" s="397"/>
    </row>
    <row r="31" spans="2:11" ht="24.9" hidden="1" customHeight="1">
      <c r="B31" s="27">
        <v>14</v>
      </c>
      <c r="C31" s="406">
        <f>단위장비14!C1</f>
        <v>0</v>
      </c>
      <c r="D31" s="407"/>
      <c r="E31" s="393" t="str">
        <f>IF('단위공사별(집계)'!N20&gt;1,('단위공사별(집계)'!D20+'단위공사별(집계)'!E20+'단위공사별(집계)'!F20+'단위공사별(집계)'!G20+'단위공사별(집계)'!H20+'단위공사별(집계)'!I20)/1000," ")</f>
        <v xml:space="preserve"> </v>
      </c>
      <c r="F31" s="453"/>
      <c r="G31" s="320" t="str">
        <f>IF('단위공사별(집계)'!N20&gt;0,('단위공사별(집계)'!L20+'단위공사별(집계)'!M20)/1000,"")</f>
        <v/>
      </c>
      <c r="H31" s="321" t="str">
        <f>IF('단위공사별(집계)'!N20&gt;0,'단위공사별(집계)'!N20/1000,"")</f>
        <v/>
      </c>
      <c r="I31" s="26"/>
      <c r="K31" s="397"/>
    </row>
    <row r="32" spans="2:11" ht="24.9" hidden="1" customHeight="1">
      <c r="B32" s="327">
        <v>15</v>
      </c>
      <c r="C32" s="457">
        <f>단위장비15!C1</f>
        <v>0</v>
      </c>
      <c r="D32" s="458"/>
      <c r="E32" s="395" t="str">
        <f>IF('단위공사별(집계)'!N21&gt;1,('단위공사별(집계)'!D21+'단위공사별(집계)'!E21+'단위공사별(집계)'!F21+'단위공사별(집계)'!G21+'단위공사별(집계)'!H21+'단위공사별(집계)'!I21)/1000," ")</f>
        <v xml:space="preserve"> </v>
      </c>
      <c r="F32" s="453"/>
      <c r="G32" s="320" t="str">
        <f>IF('단위공사별(집계)'!N21&gt;0,('단위공사별(집계)'!L21+'단위공사별(집계)'!M21)/1000,"")</f>
        <v/>
      </c>
      <c r="H32" s="321" t="str">
        <f>IF('단위공사별(집계)'!N21&gt;0,'단위공사별(집계)'!N21/1000,"")</f>
        <v/>
      </c>
      <c r="I32" s="356"/>
      <c r="K32" s="397"/>
    </row>
    <row r="33" spans="2:11" ht="24.9" customHeight="1">
      <c r="B33" s="28">
        <v>9</v>
      </c>
      <c r="C33" s="455" t="str">
        <f>단위장비16!C1</f>
        <v>현지설치</v>
      </c>
      <c r="D33" s="456"/>
      <c r="E33" s="396">
        <f>IF('단위공사별(집계)'!N22&gt;1,('단위공사별(집계)'!D22+'단위공사별(집계)'!E22+'단위공사별(집계)'!F22+'단위공사별(집계)'!G22+'단위공사별(집계)'!H22+'단위공사별(집계)'!I22)/1000," ")</f>
        <v>0</v>
      </c>
      <c r="F33" s="454"/>
      <c r="G33" s="357">
        <f>IF('단위공사별(집계)'!N22&gt;0,('단위공사별(집계)'!L22+'단위공사별(집계)'!M22)/1000,"")</f>
        <v>0</v>
      </c>
      <c r="H33" s="358">
        <f>IF('단위공사별(집계)'!N22&gt;0,'단위공사별(집계)'!N22/1000,"")</f>
        <v>398000</v>
      </c>
      <c r="I33" s="359"/>
      <c r="K33" s="397"/>
    </row>
    <row r="34" spans="2:11" ht="24.9" customHeight="1">
      <c r="B34" s="420" t="s">
        <v>403</v>
      </c>
      <c r="C34" s="421"/>
      <c r="D34" s="422"/>
      <c r="E34" s="29">
        <f>SUM(E18:E33)</f>
        <v>2646950</v>
      </c>
      <c r="F34" s="30">
        <f>SUM(F18)</f>
        <v>755050.00000000012</v>
      </c>
      <c r="G34" s="30">
        <f>SUM(G18:G33)</f>
        <v>0</v>
      </c>
      <c r="H34" s="31">
        <f>SUM(H18:H33)</f>
        <v>3799999.9999999995</v>
      </c>
      <c r="I34" s="32"/>
      <c r="K34" s="397"/>
    </row>
    <row r="35" spans="2:11" ht="4.5" customHeight="1">
      <c r="B35" s="33"/>
      <c r="C35" s="34"/>
      <c r="D35" s="34"/>
      <c r="E35" s="35"/>
      <c r="F35" s="35"/>
      <c r="G35" s="35"/>
      <c r="H35" s="35"/>
      <c r="K35" s="2"/>
    </row>
    <row r="36" spans="2:11" ht="24" customHeight="1">
      <c r="B36" s="34"/>
      <c r="C36" s="34"/>
      <c r="D36" s="34"/>
      <c r="E36" s="35"/>
      <c r="F36" s="423" t="s">
        <v>23</v>
      </c>
      <c r="G36" s="424"/>
      <c r="H36" s="36"/>
    </row>
    <row r="37" spans="2:11" ht="15" customHeight="1">
      <c r="B37" s="34"/>
      <c r="C37" s="34"/>
      <c r="D37" s="34"/>
      <c r="E37" s="35"/>
      <c r="F37" s="35"/>
      <c r="G37" s="35"/>
      <c r="H37" s="35"/>
    </row>
    <row r="38" spans="2:11" ht="22.5" customHeight="1">
      <c r="B38" s="425" t="s">
        <v>24</v>
      </c>
      <c r="C38" s="428" t="s">
        <v>25</v>
      </c>
      <c r="D38" s="429"/>
      <c r="E38" s="430"/>
      <c r="F38" s="431" t="s">
        <v>26</v>
      </c>
      <c r="G38" s="432"/>
      <c r="H38" s="432"/>
      <c r="I38" s="433"/>
    </row>
    <row r="39" spans="2:11" ht="22.5" customHeight="1">
      <c r="B39" s="426"/>
      <c r="C39" s="434" t="s">
        <v>27</v>
      </c>
      <c r="D39" s="435"/>
      <c r="E39" s="436"/>
      <c r="F39" s="37" t="s">
        <v>28</v>
      </c>
      <c r="G39" s="437"/>
      <c r="H39" s="438"/>
      <c r="I39" s="439"/>
    </row>
    <row r="40" spans="2:11" ht="22.5" customHeight="1">
      <c r="B40" s="426"/>
      <c r="C40" s="440" t="s">
        <v>388</v>
      </c>
      <c r="D40" s="441"/>
      <c r="E40" s="442"/>
      <c r="F40" s="27" t="s">
        <v>29</v>
      </c>
      <c r="G40" s="443"/>
      <c r="H40" s="444"/>
      <c r="I40" s="445"/>
    </row>
    <row r="41" spans="2:11" ht="22.5" customHeight="1">
      <c r="B41" s="426"/>
      <c r="C41" s="440" t="s">
        <v>389</v>
      </c>
      <c r="D41" s="441"/>
      <c r="E41" s="442"/>
      <c r="F41" s="27" t="s">
        <v>30</v>
      </c>
      <c r="G41" s="443"/>
      <c r="H41" s="444"/>
      <c r="I41" s="445"/>
    </row>
    <row r="42" spans="2:11" ht="22.5" customHeight="1">
      <c r="B42" s="427"/>
      <c r="C42" s="446"/>
      <c r="D42" s="447"/>
      <c r="E42" s="448"/>
      <c r="F42" s="28" t="s">
        <v>31</v>
      </c>
      <c r="G42" s="449"/>
      <c r="H42" s="450"/>
      <c r="I42" s="451"/>
    </row>
    <row r="51" spans="11:11">
      <c r="K51" s="1">
        <f>전기!H63+단위장비1!H73+단위장비2!H63+단위장비3!H64+단위장비5!H68+단위장비4!H75+단위장비6!H63+단위장비7!H54+단위장비8!H65+단위장비9!H65+단위장비10!H68</f>
        <v>2959267185.2954254</v>
      </c>
    </row>
  </sheetData>
  <mergeCells count="46">
    <mergeCell ref="I16:I17"/>
    <mergeCell ref="F18:F33"/>
    <mergeCell ref="C28:D28"/>
    <mergeCell ref="C33:D33"/>
    <mergeCell ref="C30:D30"/>
    <mergeCell ref="C31:D31"/>
    <mergeCell ref="C32:D32"/>
    <mergeCell ref="B34:D34"/>
    <mergeCell ref="F36:G36"/>
    <mergeCell ref="B38:B42"/>
    <mergeCell ref="C38:E38"/>
    <mergeCell ref="F38:I38"/>
    <mergeCell ref="C39:E39"/>
    <mergeCell ref="G39:I39"/>
    <mergeCell ref="C40:E40"/>
    <mergeCell ref="G40:I40"/>
    <mergeCell ref="C41:E41"/>
    <mergeCell ref="G41:I41"/>
    <mergeCell ref="C42:E42"/>
    <mergeCell ref="G42:I42"/>
    <mergeCell ref="B9:C9"/>
    <mergeCell ref="B10:C10"/>
    <mergeCell ref="B11:C11"/>
    <mergeCell ref="B14:C14"/>
    <mergeCell ref="D14:F14"/>
    <mergeCell ref="B13:C13"/>
    <mergeCell ref="B2:I2"/>
    <mergeCell ref="B4:D4"/>
    <mergeCell ref="B5:C5"/>
    <mergeCell ref="B6:C6"/>
    <mergeCell ref="B7:B8"/>
    <mergeCell ref="B16:B17"/>
    <mergeCell ref="C16:D17"/>
    <mergeCell ref="E16:H16"/>
    <mergeCell ref="G14:H14"/>
    <mergeCell ref="C29:D29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M51"/>
  <sheetViews>
    <sheetView showGridLines="0" zoomScale="115" zoomScaleNormal="115" workbookViewId="0">
      <pane ySplit="6" topLeftCell="A7" activePane="bottomLeft" state="frozen"/>
      <selection activeCell="K5" sqref="K5"/>
      <selection pane="bottomLeft" activeCell="L35" sqref="L35"/>
    </sheetView>
  </sheetViews>
  <sheetFormatPr defaultColWidth="9" defaultRowHeight="19.5" customHeight="1"/>
  <cols>
    <col min="1" max="1" width="0.5" style="47" customWidth="1"/>
    <col min="2" max="2" width="5.19921875" style="47" bestFit="1" customWidth="1"/>
    <col min="3" max="3" width="7.3984375" style="47" customWidth="1"/>
    <col min="4" max="4" width="8.8984375" style="47" customWidth="1"/>
    <col min="5" max="5" width="17.69921875" style="47" customWidth="1"/>
    <col min="6" max="6" width="6.3984375" style="49" customWidth="1"/>
    <col min="7" max="7" width="8.8984375" style="50" customWidth="1"/>
    <col min="8" max="8" width="9.69921875" style="51" customWidth="1"/>
    <col min="9" max="9" width="17.5" style="51" bestFit="1" customWidth="1"/>
    <col min="10" max="10" width="15.59765625" style="47" customWidth="1"/>
    <col min="11" max="11" width="13.69921875" style="52" bestFit="1" customWidth="1"/>
    <col min="12" max="12" width="10.8984375" style="47" bestFit="1" customWidth="1"/>
    <col min="13" max="256" width="9" style="47"/>
    <col min="257" max="257" width="0.5" style="47" customWidth="1"/>
    <col min="258" max="258" width="5.19921875" style="47" bestFit="1" customWidth="1"/>
    <col min="259" max="259" width="7.3984375" style="47" customWidth="1"/>
    <col min="260" max="260" width="8.8984375" style="47" customWidth="1"/>
    <col min="261" max="261" width="17.69921875" style="47" customWidth="1"/>
    <col min="262" max="262" width="6.3984375" style="47" customWidth="1"/>
    <col min="263" max="263" width="8.8984375" style="47" customWidth="1"/>
    <col min="264" max="264" width="9.69921875" style="47" customWidth="1"/>
    <col min="265" max="265" width="17.5" style="47" bestFit="1" customWidth="1"/>
    <col min="266" max="266" width="15.59765625" style="47" customWidth="1"/>
    <col min="267" max="267" width="13.69921875" style="47" bestFit="1" customWidth="1"/>
    <col min="268" max="268" width="10.8984375" style="47" bestFit="1" customWidth="1"/>
    <col min="269" max="512" width="9" style="47"/>
    <col min="513" max="513" width="0.5" style="47" customWidth="1"/>
    <col min="514" max="514" width="5.19921875" style="47" bestFit="1" customWidth="1"/>
    <col min="515" max="515" width="7.3984375" style="47" customWidth="1"/>
    <col min="516" max="516" width="8.8984375" style="47" customWidth="1"/>
    <col min="517" max="517" width="17.69921875" style="47" customWidth="1"/>
    <col min="518" max="518" width="6.3984375" style="47" customWidth="1"/>
    <col min="519" max="519" width="8.8984375" style="47" customWidth="1"/>
    <col min="520" max="520" width="9.69921875" style="47" customWidth="1"/>
    <col min="521" max="521" width="17.5" style="47" bestFit="1" customWidth="1"/>
    <col min="522" max="522" width="15.59765625" style="47" customWidth="1"/>
    <col min="523" max="523" width="13.69921875" style="47" bestFit="1" customWidth="1"/>
    <col min="524" max="524" width="10.8984375" style="47" bestFit="1" customWidth="1"/>
    <col min="525" max="768" width="9" style="47"/>
    <col min="769" max="769" width="0.5" style="47" customWidth="1"/>
    <col min="770" max="770" width="5.19921875" style="47" bestFit="1" customWidth="1"/>
    <col min="771" max="771" width="7.3984375" style="47" customWidth="1"/>
    <col min="772" max="772" width="8.8984375" style="47" customWidth="1"/>
    <col min="773" max="773" width="17.69921875" style="47" customWidth="1"/>
    <col min="774" max="774" width="6.3984375" style="47" customWidth="1"/>
    <col min="775" max="775" width="8.8984375" style="47" customWidth="1"/>
    <col min="776" max="776" width="9.69921875" style="47" customWidth="1"/>
    <col min="777" max="777" width="17.5" style="47" bestFit="1" customWidth="1"/>
    <col min="778" max="778" width="15.59765625" style="47" customWidth="1"/>
    <col min="779" max="779" width="13.69921875" style="47" bestFit="1" customWidth="1"/>
    <col min="780" max="780" width="10.8984375" style="47" bestFit="1" customWidth="1"/>
    <col min="781" max="1024" width="9" style="47"/>
    <col min="1025" max="1025" width="0.5" style="47" customWidth="1"/>
    <col min="1026" max="1026" width="5.19921875" style="47" bestFit="1" customWidth="1"/>
    <col min="1027" max="1027" width="7.3984375" style="47" customWidth="1"/>
    <col min="1028" max="1028" width="8.8984375" style="47" customWidth="1"/>
    <col min="1029" max="1029" width="17.69921875" style="47" customWidth="1"/>
    <col min="1030" max="1030" width="6.3984375" style="47" customWidth="1"/>
    <col min="1031" max="1031" width="8.8984375" style="47" customWidth="1"/>
    <col min="1032" max="1032" width="9.69921875" style="47" customWidth="1"/>
    <col min="1033" max="1033" width="17.5" style="47" bestFit="1" customWidth="1"/>
    <col min="1034" max="1034" width="15.59765625" style="47" customWidth="1"/>
    <col min="1035" max="1035" width="13.69921875" style="47" bestFit="1" customWidth="1"/>
    <col min="1036" max="1036" width="10.8984375" style="47" bestFit="1" customWidth="1"/>
    <col min="1037" max="1280" width="9" style="47"/>
    <col min="1281" max="1281" width="0.5" style="47" customWidth="1"/>
    <col min="1282" max="1282" width="5.19921875" style="47" bestFit="1" customWidth="1"/>
    <col min="1283" max="1283" width="7.3984375" style="47" customWidth="1"/>
    <col min="1284" max="1284" width="8.8984375" style="47" customWidth="1"/>
    <col min="1285" max="1285" width="17.69921875" style="47" customWidth="1"/>
    <col min="1286" max="1286" width="6.3984375" style="47" customWidth="1"/>
    <col min="1287" max="1287" width="8.8984375" style="47" customWidth="1"/>
    <col min="1288" max="1288" width="9.69921875" style="47" customWidth="1"/>
    <col min="1289" max="1289" width="17.5" style="47" bestFit="1" customWidth="1"/>
    <col min="1290" max="1290" width="15.59765625" style="47" customWidth="1"/>
    <col min="1291" max="1291" width="13.69921875" style="47" bestFit="1" customWidth="1"/>
    <col min="1292" max="1292" width="10.8984375" style="47" bestFit="1" customWidth="1"/>
    <col min="1293" max="1536" width="9" style="47"/>
    <col min="1537" max="1537" width="0.5" style="47" customWidth="1"/>
    <col min="1538" max="1538" width="5.19921875" style="47" bestFit="1" customWidth="1"/>
    <col min="1539" max="1539" width="7.3984375" style="47" customWidth="1"/>
    <col min="1540" max="1540" width="8.8984375" style="47" customWidth="1"/>
    <col min="1541" max="1541" width="17.69921875" style="47" customWidth="1"/>
    <col min="1542" max="1542" width="6.3984375" style="47" customWidth="1"/>
    <col min="1543" max="1543" width="8.8984375" style="47" customWidth="1"/>
    <col min="1544" max="1544" width="9.69921875" style="47" customWidth="1"/>
    <col min="1545" max="1545" width="17.5" style="47" bestFit="1" customWidth="1"/>
    <col min="1546" max="1546" width="15.59765625" style="47" customWidth="1"/>
    <col min="1547" max="1547" width="13.69921875" style="47" bestFit="1" customWidth="1"/>
    <col min="1548" max="1548" width="10.8984375" style="47" bestFit="1" customWidth="1"/>
    <col min="1549" max="1792" width="9" style="47"/>
    <col min="1793" max="1793" width="0.5" style="47" customWidth="1"/>
    <col min="1794" max="1794" width="5.19921875" style="47" bestFit="1" customWidth="1"/>
    <col min="1795" max="1795" width="7.3984375" style="47" customWidth="1"/>
    <col min="1796" max="1796" width="8.8984375" style="47" customWidth="1"/>
    <col min="1797" max="1797" width="17.69921875" style="47" customWidth="1"/>
    <col min="1798" max="1798" width="6.3984375" style="47" customWidth="1"/>
    <col min="1799" max="1799" width="8.8984375" style="47" customWidth="1"/>
    <col min="1800" max="1800" width="9.69921875" style="47" customWidth="1"/>
    <col min="1801" max="1801" width="17.5" style="47" bestFit="1" customWidth="1"/>
    <col min="1802" max="1802" width="15.59765625" style="47" customWidth="1"/>
    <col min="1803" max="1803" width="13.69921875" style="47" bestFit="1" customWidth="1"/>
    <col min="1804" max="1804" width="10.8984375" style="47" bestFit="1" customWidth="1"/>
    <col min="1805" max="2048" width="9" style="47"/>
    <col min="2049" max="2049" width="0.5" style="47" customWidth="1"/>
    <col min="2050" max="2050" width="5.19921875" style="47" bestFit="1" customWidth="1"/>
    <col min="2051" max="2051" width="7.3984375" style="47" customWidth="1"/>
    <col min="2052" max="2052" width="8.8984375" style="47" customWidth="1"/>
    <col min="2053" max="2053" width="17.69921875" style="47" customWidth="1"/>
    <col min="2054" max="2054" width="6.3984375" style="47" customWidth="1"/>
    <col min="2055" max="2055" width="8.8984375" style="47" customWidth="1"/>
    <col min="2056" max="2056" width="9.69921875" style="47" customWidth="1"/>
    <col min="2057" max="2057" width="17.5" style="47" bestFit="1" customWidth="1"/>
    <col min="2058" max="2058" width="15.59765625" style="47" customWidth="1"/>
    <col min="2059" max="2059" width="13.69921875" style="47" bestFit="1" customWidth="1"/>
    <col min="2060" max="2060" width="10.8984375" style="47" bestFit="1" customWidth="1"/>
    <col min="2061" max="2304" width="9" style="47"/>
    <col min="2305" max="2305" width="0.5" style="47" customWidth="1"/>
    <col min="2306" max="2306" width="5.19921875" style="47" bestFit="1" customWidth="1"/>
    <col min="2307" max="2307" width="7.3984375" style="47" customWidth="1"/>
    <col min="2308" max="2308" width="8.8984375" style="47" customWidth="1"/>
    <col min="2309" max="2309" width="17.69921875" style="47" customWidth="1"/>
    <col min="2310" max="2310" width="6.3984375" style="47" customWidth="1"/>
    <col min="2311" max="2311" width="8.8984375" style="47" customWidth="1"/>
    <col min="2312" max="2312" width="9.69921875" style="47" customWidth="1"/>
    <col min="2313" max="2313" width="17.5" style="47" bestFit="1" customWidth="1"/>
    <col min="2314" max="2314" width="15.59765625" style="47" customWidth="1"/>
    <col min="2315" max="2315" width="13.69921875" style="47" bestFit="1" customWidth="1"/>
    <col min="2316" max="2316" width="10.8984375" style="47" bestFit="1" customWidth="1"/>
    <col min="2317" max="2560" width="9" style="47"/>
    <col min="2561" max="2561" width="0.5" style="47" customWidth="1"/>
    <col min="2562" max="2562" width="5.19921875" style="47" bestFit="1" customWidth="1"/>
    <col min="2563" max="2563" width="7.3984375" style="47" customWidth="1"/>
    <col min="2564" max="2564" width="8.8984375" style="47" customWidth="1"/>
    <col min="2565" max="2565" width="17.69921875" style="47" customWidth="1"/>
    <col min="2566" max="2566" width="6.3984375" style="47" customWidth="1"/>
    <col min="2567" max="2567" width="8.8984375" style="47" customWidth="1"/>
    <col min="2568" max="2568" width="9.69921875" style="47" customWidth="1"/>
    <col min="2569" max="2569" width="17.5" style="47" bestFit="1" customWidth="1"/>
    <col min="2570" max="2570" width="15.59765625" style="47" customWidth="1"/>
    <col min="2571" max="2571" width="13.69921875" style="47" bestFit="1" customWidth="1"/>
    <col min="2572" max="2572" width="10.8984375" style="47" bestFit="1" customWidth="1"/>
    <col min="2573" max="2816" width="9" style="47"/>
    <col min="2817" max="2817" width="0.5" style="47" customWidth="1"/>
    <col min="2818" max="2818" width="5.19921875" style="47" bestFit="1" customWidth="1"/>
    <col min="2819" max="2819" width="7.3984375" style="47" customWidth="1"/>
    <col min="2820" max="2820" width="8.8984375" style="47" customWidth="1"/>
    <col min="2821" max="2821" width="17.69921875" style="47" customWidth="1"/>
    <col min="2822" max="2822" width="6.3984375" style="47" customWidth="1"/>
    <col min="2823" max="2823" width="8.8984375" style="47" customWidth="1"/>
    <col min="2824" max="2824" width="9.69921875" style="47" customWidth="1"/>
    <col min="2825" max="2825" width="17.5" style="47" bestFit="1" customWidth="1"/>
    <col min="2826" max="2826" width="15.59765625" style="47" customWidth="1"/>
    <col min="2827" max="2827" width="13.69921875" style="47" bestFit="1" customWidth="1"/>
    <col min="2828" max="2828" width="10.8984375" style="47" bestFit="1" customWidth="1"/>
    <col min="2829" max="3072" width="9" style="47"/>
    <col min="3073" max="3073" width="0.5" style="47" customWidth="1"/>
    <col min="3074" max="3074" width="5.19921875" style="47" bestFit="1" customWidth="1"/>
    <col min="3075" max="3075" width="7.3984375" style="47" customWidth="1"/>
    <col min="3076" max="3076" width="8.8984375" style="47" customWidth="1"/>
    <col min="3077" max="3077" width="17.69921875" style="47" customWidth="1"/>
    <col min="3078" max="3078" width="6.3984375" style="47" customWidth="1"/>
    <col min="3079" max="3079" width="8.8984375" style="47" customWidth="1"/>
    <col min="3080" max="3080" width="9.69921875" style="47" customWidth="1"/>
    <col min="3081" max="3081" width="17.5" style="47" bestFit="1" customWidth="1"/>
    <col min="3082" max="3082" width="15.59765625" style="47" customWidth="1"/>
    <col min="3083" max="3083" width="13.69921875" style="47" bestFit="1" customWidth="1"/>
    <col min="3084" max="3084" width="10.8984375" style="47" bestFit="1" customWidth="1"/>
    <col min="3085" max="3328" width="9" style="47"/>
    <col min="3329" max="3329" width="0.5" style="47" customWidth="1"/>
    <col min="3330" max="3330" width="5.19921875" style="47" bestFit="1" customWidth="1"/>
    <col min="3331" max="3331" width="7.3984375" style="47" customWidth="1"/>
    <col min="3332" max="3332" width="8.8984375" style="47" customWidth="1"/>
    <col min="3333" max="3333" width="17.69921875" style="47" customWidth="1"/>
    <col min="3334" max="3334" width="6.3984375" style="47" customWidth="1"/>
    <col min="3335" max="3335" width="8.8984375" style="47" customWidth="1"/>
    <col min="3336" max="3336" width="9.69921875" style="47" customWidth="1"/>
    <col min="3337" max="3337" width="17.5" style="47" bestFit="1" customWidth="1"/>
    <col min="3338" max="3338" width="15.59765625" style="47" customWidth="1"/>
    <col min="3339" max="3339" width="13.69921875" style="47" bestFit="1" customWidth="1"/>
    <col min="3340" max="3340" width="10.8984375" style="47" bestFit="1" customWidth="1"/>
    <col min="3341" max="3584" width="9" style="47"/>
    <col min="3585" max="3585" width="0.5" style="47" customWidth="1"/>
    <col min="3586" max="3586" width="5.19921875" style="47" bestFit="1" customWidth="1"/>
    <col min="3587" max="3587" width="7.3984375" style="47" customWidth="1"/>
    <col min="3588" max="3588" width="8.8984375" style="47" customWidth="1"/>
    <col min="3589" max="3589" width="17.69921875" style="47" customWidth="1"/>
    <col min="3590" max="3590" width="6.3984375" style="47" customWidth="1"/>
    <col min="3591" max="3591" width="8.8984375" style="47" customWidth="1"/>
    <col min="3592" max="3592" width="9.69921875" style="47" customWidth="1"/>
    <col min="3593" max="3593" width="17.5" style="47" bestFit="1" customWidth="1"/>
    <col min="3594" max="3594" width="15.59765625" style="47" customWidth="1"/>
    <col min="3595" max="3595" width="13.69921875" style="47" bestFit="1" customWidth="1"/>
    <col min="3596" max="3596" width="10.8984375" style="47" bestFit="1" customWidth="1"/>
    <col min="3597" max="3840" width="9" style="47"/>
    <col min="3841" max="3841" width="0.5" style="47" customWidth="1"/>
    <col min="3842" max="3842" width="5.19921875" style="47" bestFit="1" customWidth="1"/>
    <col min="3843" max="3843" width="7.3984375" style="47" customWidth="1"/>
    <col min="3844" max="3844" width="8.8984375" style="47" customWidth="1"/>
    <col min="3845" max="3845" width="17.69921875" style="47" customWidth="1"/>
    <col min="3846" max="3846" width="6.3984375" style="47" customWidth="1"/>
    <col min="3847" max="3847" width="8.8984375" style="47" customWidth="1"/>
    <col min="3848" max="3848" width="9.69921875" style="47" customWidth="1"/>
    <col min="3849" max="3849" width="17.5" style="47" bestFit="1" customWidth="1"/>
    <col min="3850" max="3850" width="15.59765625" style="47" customWidth="1"/>
    <col min="3851" max="3851" width="13.69921875" style="47" bestFit="1" customWidth="1"/>
    <col min="3852" max="3852" width="10.8984375" style="47" bestFit="1" customWidth="1"/>
    <col min="3853" max="4096" width="9" style="47"/>
    <col min="4097" max="4097" width="0.5" style="47" customWidth="1"/>
    <col min="4098" max="4098" width="5.19921875" style="47" bestFit="1" customWidth="1"/>
    <col min="4099" max="4099" width="7.3984375" style="47" customWidth="1"/>
    <col min="4100" max="4100" width="8.8984375" style="47" customWidth="1"/>
    <col min="4101" max="4101" width="17.69921875" style="47" customWidth="1"/>
    <col min="4102" max="4102" width="6.3984375" style="47" customWidth="1"/>
    <col min="4103" max="4103" width="8.8984375" style="47" customWidth="1"/>
    <col min="4104" max="4104" width="9.69921875" style="47" customWidth="1"/>
    <col min="4105" max="4105" width="17.5" style="47" bestFit="1" customWidth="1"/>
    <col min="4106" max="4106" width="15.59765625" style="47" customWidth="1"/>
    <col min="4107" max="4107" width="13.69921875" style="47" bestFit="1" customWidth="1"/>
    <col min="4108" max="4108" width="10.8984375" style="47" bestFit="1" customWidth="1"/>
    <col min="4109" max="4352" width="9" style="47"/>
    <col min="4353" max="4353" width="0.5" style="47" customWidth="1"/>
    <col min="4354" max="4354" width="5.19921875" style="47" bestFit="1" customWidth="1"/>
    <col min="4355" max="4355" width="7.3984375" style="47" customWidth="1"/>
    <col min="4356" max="4356" width="8.8984375" style="47" customWidth="1"/>
    <col min="4357" max="4357" width="17.69921875" style="47" customWidth="1"/>
    <col min="4358" max="4358" width="6.3984375" style="47" customWidth="1"/>
    <col min="4359" max="4359" width="8.8984375" style="47" customWidth="1"/>
    <col min="4360" max="4360" width="9.69921875" style="47" customWidth="1"/>
    <col min="4361" max="4361" width="17.5" style="47" bestFit="1" customWidth="1"/>
    <col min="4362" max="4362" width="15.59765625" style="47" customWidth="1"/>
    <col min="4363" max="4363" width="13.69921875" style="47" bestFit="1" customWidth="1"/>
    <col min="4364" max="4364" width="10.8984375" style="47" bestFit="1" customWidth="1"/>
    <col min="4365" max="4608" width="9" style="47"/>
    <col min="4609" max="4609" width="0.5" style="47" customWidth="1"/>
    <col min="4610" max="4610" width="5.19921875" style="47" bestFit="1" customWidth="1"/>
    <col min="4611" max="4611" width="7.3984375" style="47" customWidth="1"/>
    <col min="4612" max="4612" width="8.8984375" style="47" customWidth="1"/>
    <col min="4613" max="4613" width="17.69921875" style="47" customWidth="1"/>
    <col min="4614" max="4614" width="6.3984375" style="47" customWidth="1"/>
    <col min="4615" max="4615" width="8.8984375" style="47" customWidth="1"/>
    <col min="4616" max="4616" width="9.69921875" style="47" customWidth="1"/>
    <col min="4617" max="4617" width="17.5" style="47" bestFit="1" customWidth="1"/>
    <col min="4618" max="4618" width="15.59765625" style="47" customWidth="1"/>
    <col min="4619" max="4619" width="13.69921875" style="47" bestFit="1" customWidth="1"/>
    <col min="4620" max="4620" width="10.8984375" style="47" bestFit="1" customWidth="1"/>
    <col min="4621" max="4864" width="9" style="47"/>
    <col min="4865" max="4865" width="0.5" style="47" customWidth="1"/>
    <col min="4866" max="4866" width="5.19921875" style="47" bestFit="1" customWidth="1"/>
    <col min="4867" max="4867" width="7.3984375" style="47" customWidth="1"/>
    <col min="4868" max="4868" width="8.8984375" style="47" customWidth="1"/>
    <col min="4869" max="4869" width="17.69921875" style="47" customWidth="1"/>
    <col min="4870" max="4870" width="6.3984375" style="47" customWidth="1"/>
    <col min="4871" max="4871" width="8.8984375" style="47" customWidth="1"/>
    <col min="4872" max="4872" width="9.69921875" style="47" customWidth="1"/>
    <col min="4873" max="4873" width="17.5" style="47" bestFit="1" customWidth="1"/>
    <col min="4874" max="4874" width="15.59765625" style="47" customWidth="1"/>
    <col min="4875" max="4875" width="13.69921875" style="47" bestFit="1" customWidth="1"/>
    <col min="4876" max="4876" width="10.8984375" style="47" bestFit="1" customWidth="1"/>
    <col min="4877" max="5120" width="9" style="47"/>
    <col min="5121" max="5121" width="0.5" style="47" customWidth="1"/>
    <col min="5122" max="5122" width="5.19921875" style="47" bestFit="1" customWidth="1"/>
    <col min="5123" max="5123" width="7.3984375" style="47" customWidth="1"/>
    <col min="5124" max="5124" width="8.8984375" style="47" customWidth="1"/>
    <col min="5125" max="5125" width="17.69921875" style="47" customWidth="1"/>
    <col min="5126" max="5126" width="6.3984375" style="47" customWidth="1"/>
    <col min="5127" max="5127" width="8.8984375" style="47" customWidth="1"/>
    <col min="5128" max="5128" width="9.69921875" style="47" customWidth="1"/>
    <col min="5129" max="5129" width="17.5" style="47" bestFit="1" customWidth="1"/>
    <col min="5130" max="5130" width="15.59765625" style="47" customWidth="1"/>
    <col min="5131" max="5131" width="13.69921875" style="47" bestFit="1" customWidth="1"/>
    <col min="5132" max="5132" width="10.8984375" style="47" bestFit="1" customWidth="1"/>
    <col min="5133" max="5376" width="9" style="47"/>
    <col min="5377" max="5377" width="0.5" style="47" customWidth="1"/>
    <col min="5378" max="5378" width="5.19921875" style="47" bestFit="1" customWidth="1"/>
    <col min="5379" max="5379" width="7.3984375" style="47" customWidth="1"/>
    <col min="5380" max="5380" width="8.8984375" style="47" customWidth="1"/>
    <col min="5381" max="5381" width="17.69921875" style="47" customWidth="1"/>
    <col min="5382" max="5382" width="6.3984375" style="47" customWidth="1"/>
    <col min="5383" max="5383" width="8.8984375" style="47" customWidth="1"/>
    <col min="5384" max="5384" width="9.69921875" style="47" customWidth="1"/>
    <col min="5385" max="5385" width="17.5" style="47" bestFit="1" customWidth="1"/>
    <col min="5386" max="5386" width="15.59765625" style="47" customWidth="1"/>
    <col min="5387" max="5387" width="13.69921875" style="47" bestFit="1" customWidth="1"/>
    <col min="5388" max="5388" width="10.8984375" style="47" bestFit="1" customWidth="1"/>
    <col min="5389" max="5632" width="9" style="47"/>
    <col min="5633" max="5633" width="0.5" style="47" customWidth="1"/>
    <col min="5634" max="5634" width="5.19921875" style="47" bestFit="1" customWidth="1"/>
    <col min="5635" max="5635" width="7.3984375" style="47" customWidth="1"/>
    <col min="5636" max="5636" width="8.8984375" style="47" customWidth="1"/>
    <col min="5637" max="5637" width="17.69921875" style="47" customWidth="1"/>
    <col min="5638" max="5638" width="6.3984375" style="47" customWidth="1"/>
    <col min="5639" max="5639" width="8.8984375" style="47" customWidth="1"/>
    <col min="5640" max="5640" width="9.69921875" style="47" customWidth="1"/>
    <col min="5641" max="5641" width="17.5" style="47" bestFit="1" customWidth="1"/>
    <col min="5642" max="5642" width="15.59765625" style="47" customWidth="1"/>
    <col min="5643" max="5643" width="13.69921875" style="47" bestFit="1" customWidth="1"/>
    <col min="5644" max="5644" width="10.8984375" style="47" bestFit="1" customWidth="1"/>
    <col min="5645" max="5888" width="9" style="47"/>
    <col min="5889" max="5889" width="0.5" style="47" customWidth="1"/>
    <col min="5890" max="5890" width="5.19921875" style="47" bestFit="1" customWidth="1"/>
    <col min="5891" max="5891" width="7.3984375" style="47" customWidth="1"/>
    <col min="5892" max="5892" width="8.8984375" style="47" customWidth="1"/>
    <col min="5893" max="5893" width="17.69921875" style="47" customWidth="1"/>
    <col min="5894" max="5894" width="6.3984375" style="47" customWidth="1"/>
    <col min="5895" max="5895" width="8.8984375" style="47" customWidth="1"/>
    <col min="5896" max="5896" width="9.69921875" style="47" customWidth="1"/>
    <col min="5897" max="5897" width="17.5" style="47" bestFit="1" customWidth="1"/>
    <col min="5898" max="5898" width="15.59765625" style="47" customWidth="1"/>
    <col min="5899" max="5899" width="13.69921875" style="47" bestFit="1" customWidth="1"/>
    <col min="5900" max="5900" width="10.8984375" style="47" bestFit="1" customWidth="1"/>
    <col min="5901" max="6144" width="9" style="47"/>
    <col min="6145" max="6145" width="0.5" style="47" customWidth="1"/>
    <col min="6146" max="6146" width="5.19921875" style="47" bestFit="1" customWidth="1"/>
    <col min="6147" max="6147" width="7.3984375" style="47" customWidth="1"/>
    <col min="6148" max="6148" width="8.8984375" style="47" customWidth="1"/>
    <col min="6149" max="6149" width="17.69921875" style="47" customWidth="1"/>
    <col min="6150" max="6150" width="6.3984375" style="47" customWidth="1"/>
    <col min="6151" max="6151" width="8.8984375" style="47" customWidth="1"/>
    <col min="6152" max="6152" width="9.69921875" style="47" customWidth="1"/>
    <col min="6153" max="6153" width="17.5" style="47" bestFit="1" customWidth="1"/>
    <col min="6154" max="6154" width="15.59765625" style="47" customWidth="1"/>
    <col min="6155" max="6155" width="13.69921875" style="47" bestFit="1" customWidth="1"/>
    <col min="6156" max="6156" width="10.8984375" style="47" bestFit="1" customWidth="1"/>
    <col min="6157" max="6400" width="9" style="47"/>
    <col min="6401" max="6401" width="0.5" style="47" customWidth="1"/>
    <col min="6402" max="6402" width="5.19921875" style="47" bestFit="1" customWidth="1"/>
    <col min="6403" max="6403" width="7.3984375" style="47" customWidth="1"/>
    <col min="6404" max="6404" width="8.8984375" style="47" customWidth="1"/>
    <col min="6405" max="6405" width="17.69921875" style="47" customWidth="1"/>
    <col min="6406" max="6406" width="6.3984375" style="47" customWidth="1"/>
    <col min="6407" max="6407" width="8.8984375" style="47" customWidth="1"/>
    <col min="6408" max="6408" width="9.69921875" style="47" customWidth="1"/>
    <col min="6409" max="6409" width="17.5" style="47" bestFit="1" customWidth="1"/>
    <col min="6410" max="6410" width="15.59765625" style="47" customWidth="1"/>
    <col min="6411" max="6411" width="13.69921875" style="47" bestFit="1" customWidth="1"/>
    <col min="6412" max="6412" width="10.8984375" style="47" bestFit="1" customWidth="1"/>
    <col min="6413" max="6656" width="9" style="47"/>
    <col min="6657" max="6657" width="0.5" style="47" customWidth="1"/>
    <col min="6658" max="6658" width="5.19921875" style="47" bestFit="1" customWidth="1"/>
    <col min="6659" max="6659" width="7.3984375" style="47" customWidth="1"/>
    <col min="6660" max="6660" width="8.8984375" style="47" customWidth="1"/>
    <col min="6661" max="6661" width="17.69921875" style="47" customWidth="1"/>
    <col min="6662" max="6662" width="6.3984375" style="47" customWidth="1"/>
    <col min="6663" max="6663" width="8.8984375" style="47" customWidth="1"/>
    <col min="6664" max="6664" width="9.69921875" style="47" customWidth="1"/>
    <col min="6665" max="6665" width="17.5" style="47" bestFit="1" customWidth="1"/>
    <col min="6666" max="6666" width="15.59765625" style="47" customWidth="1"/>
    <col min="6667" max="6667" width="13.69921875" style="47" bestFit="1" customWidth="1"/>
    <col min="6668" max="6668" width="10.8984375" style="47" bestFit="1" customWidth="1"/>
    <col min="6669" max="6912" width="9" style="47"/>
    <col min="6913" max="6913" width="0.5" style="47" customWidth="1"/>
    <col min="6914" max="6914" width="5.19921875" style="47" bestFit="1" customWidth="1"/>
    <col min="6915" max="6915" width="7.3984375" style="47" customWidth="1"/>
    <col min="6916" max="6916" width="8.8984375" style="47" customWidth="1"/>
    <col min="6917" max="6917" width="17.69921875" style="47" customWidth="1"/>
    <col min="6918" max="6918" width="6.3984375" style="47" customWidth="1"/>
    <col min="6919" max="6919" width="8.8984375" style="47" customWidth="1"/>
    <col min="6920" max="6920" width="9.69921875" style="47" customWidth="1"/>
    <col min="6921" max="6921" width="17.5" style="47" bestFit="1" customWidth="1"/>
    <col min="6922" max="6922" width="15.59765625" style="47" customWidth="1"/>
    <col min="6923" max="6923" width="13.69921875" style="47" bestFit="1" customWidth="1"/>
    <col min="6924" max="6924" width="10.8984375" style="47" bestFit="1" customWidth="1"/>
    <col min="6925" max="7168" width="9" style="47"/>
    <col min="7169" max="7169" width="0.5" style="47" customWidth="1"/>
    <col min="7170" max="7170" width="5.19921875" style="47" bestFit="1" customWidth="1"/>
    <col min="7171" max="7171" width="7.3984375" style="47" customWidth="1"/>
    <col min="7172" max="7172" width="8.8984375" style="47" customWidth="1"/>
    <col min="7173" max="7173" width="17.69921875" style="47" customWidth="1"/>
    <col min="7174" max="7174" width="6.3984375" style="47" customWidth="1"/>
    <col min="7175" max="7175" width="8.8984375" style="47" customWidth="1"/>
    <col min="7176" max="7176" width="9.69921875" style="47" customWidth="1"/>
    <col min="7177" max="7177" width="17.5" style="47" bestFit="1" customWidth="1"/>
    <col min="7178" max="7178" width="15.59765625" style="47" customWidth="1"/>
    <col min="7179" max="7179" width="13.69921875" style="47" bestFit="1" customWidth="1"/>
    <col min="7180" max="7180" width="10.8984375" style="47" bestFit="1" customWidth="1"/>
    <col min="7181" max="7424" width="9" style="47"/>
    <col min="7425" max="7425" width="0.5" style="47" customWidth="1"/>
    <col min="7426" max="7426" width="5.19921875" style="47" bestFit="1" customWidth="1"/>
    <col min="7427" max="7427" width="7.3984375" style="47" customWidth="1"/>
    <col min="7428" max="7428" width="8.8984375" style="47" customWidth="1"/>
    <col min="7429" max="7429" width="17.69921875" style="47" customWidth="1"/>
    <col min="7430" max="7430" width="6.3984375" style="47" customWidth="1"/>
    <col min="7431" max="7431" width="8.8984375" style="47" customWidth="1"/>
    <col min="7432" max="7432" width="9.69921875" style="47" customWidth="1"/>
    <col min="7433" max="7433" width="17.5" style="47" bestFit="1" customWidth="1"/>
    <col min="7434" max="7434" width="15.59765625" style="47" customWidth="1"/>
    <col min="7435" max="7435" width="13.69921875" style="47" bestFit="1" customWidth="1"/>
    <col min="7436" max="7436" width="10.8984375" style="47" bestFit="1" customWidth="1"/>
    <col min="7437" max="7680" width="9" style="47"/>
    <col min="7681" max="7681" width="0.5" style="47" customWidth="1"/>
    <col min="7682" max="7682" width="5.19921875" style="47" bestFit="1" customWidth="1"/>
    <col min="7683" max="7683" width="7.3984375" style="47" customWidth="1"/>
    <col min="7684" max="7684" width="8.8984375" style="47" customWidth="1"/>
    <col min="7685" max="7685" width="17.69921875" style="47" customWidth="1"/>
    <col min="7686" max="7686" width="6.3984375" style="47" customWidth="1"/>
    <col min="7687" max="7687" width="8.8984375" style="47" customWidth="1"/>
    <col min="7688" max="7688" width="9.69921875" style="47" customWidth="1"/>
    <col min="7689" max="7689" width="17.5" style="47" bestFit="1" customWidth="1"/>
    <col min="7690" max="7690" width="15.59765625" style="47" customWidth="1"/>
    <col min="7691" max="7691" width="13.69921875" style="47" bestFit="1" customWidth="1"/>
    <col min="7692" max="7692" width="10.8984375" style="47" bestFit="1" customWidth="1"/>
    <col min="7693" max="7936" width="9" style="47"/>
    <col min="7937" max="7937" width="0.5" style="47" customWidth="1"/>
    <col min="7938" max="7938" width="5.19921875" style="47" bestFit="1" customWidth="1"/>
    <col min="7939" max="7939" width="7.3984375" style="47" customWidth="1"/>
    <col min="7940" max="7940" width="8.8984375" style="47" customWidth="1"/>
    <col min="7941" max="7941" width="17.69921875" style="47" customWidth="1"/>
    <col min="7942" max="7942" width="6.3984375" style="47" customWidth="1"/>
    <col min="7943" max="7943" width="8.8984375" style="47" customWidth="1"/>
    <col min="7944" max="7944" width="9.69921875" style="47" customWidth="1"/>
    <col min="7945" max="7945" width="17.5" style="47" bestFit="1" customWidth="1"/>
    <col min="7946" max="7946" width="15.59765625" style="47" customWidth="1"/>
    <col min="7947" max="7947" width="13.69921875" style="47" bestFit="1" customWidth="1"/>
    <col min="7948" max="7948" width="10.8984375" style="47" bestFit="1" customWidth="1"/>
    <col min="7949" max="8192" width="9" style="47"/>
    <col min="8193" max="8193" width="0.5" style="47" customWidth="1"/>
    <col min="8194" max="8194" width="5.19921875" style="47" bestFit="1" customWidth="1"/>
    <col min="8195" max="8195" width="7.3984375" style="47" customWidth="1"/>
    <col min="8196" max="8196" width="8.8984375" style="47" customWidth="1"/>
    <col min="8197" max="8197" width="17.69921875" style="47" customWidth="1"/>
    <col min="8198" max="8198" width="6.3984375" style="47" customWidth="1"/>
    <col min="8199" max="8199" width="8.8984375" style="47" customWidth="1"/>
    <col min="8200" max="8200" width="9.69921875" style="47" customWidth="1"/>
    <col min="8201" max="8201" width="17.5" style="47" bestFit="1" customWidth="1"/>
    <col min="8202" max="8202" width="15.59765625" style="47" customWidth="1"/>
    <col min="8203" max="8203" width="13.69921875" style="47" bestFit="1" customWidth="1"/>
    <col min="8204" max="8204" width="10.8984375" style="47" bestFit="1" customWidth="1"/>
    <col min="8205" max="8448" width="9" style="47"/>
    <col min="8449" max="8449" width="0.5" style="47" customWidth="1"/>
    <col min="8450" max="8450" width="5.19921875" style="47" bestFit="1" customWidth="1"/>
    <col min="8451" max="8451" width="7.3984375" style="47" customWidth="1"/>
    <col min="8452" max="8452" width="8.8984375" style="47" customWidth="1"/>
    <col min="8453" max="8453" width="17.69921875" style="47" customWidth="1"/>
    <col min="8454" max="8454" width="6.3984375" style="47" customWidth="1"/>
    <col min="8455" max="8455" width="8.8984375" style="47" customWidth="1"/>
    <col min="8456" max="8456" width="9.69921875" style="47" customWidth="1"/>
    <col min="8457" max="8457" width="17.5" style="47" bestFit="1" customWidth="1"/>
    <col min="8458" max="8458" width="15.59765625" style="47" customWidth="1"/>
    <col min="8459" max="8459" width="13.69921875" style="47" bestFit="1" customWidth="1"/>
    <col min="8460" max="8460" width="10.8984375" style="47" bestFit="1" customWidth="1"/>
    <col min="8461" max="8704" width="9" style="47"/>
    <col min="8705" max="8705" width="0.5" style="47" customWidth="1"/>
    <col min="8706" max="8706" width="5.19921875" style="47" bestFit="1" customWidth="1"/>
    <col min="8707" max="8707" width="7.3984375" style="47" customWidth="1"/>
    <col min="8708" max="8708" width="8.8984375" style="47" customWidth="1"/>
    <col min="8709" max="8709" width="17.69921875" style="47" customWidth="1"/>
    <col min="8710" max="8710" width="6.3984375" style="47" customWidth="1"/>
    <col min="8711" max="8711" width="8.8984375" style="47" customWidth="1"/>
    <col min="8712" max="8712" width="9.69921875" style="47" customWidth="1"/>
    <col min="8713" max="8713" width="17.5" style="47" bestFit="1" customWidth="1"/>
    <col min="8714" max="8714" width="15.59765625" style="47" customWidth="1"/>
    <col min="8715" max="8715" width="13.69921875" style="47" bestFit="1" customWidth="1"/>
    <col min="8716" max="8716" width="10.8984375" style="47" bestFit="1" customWidth="1"/>
    <col min="8717" max="8960" width="9" style="47"/>
    <col min="8961" max="8961" width="0.5" style="47" customWidth="1"/>
    <col min="8962" max="8962" width="5.19921875" style="47" bestFit="1" customWidth="1"/>
    <col min="8963" max="8963" width="7.3984375" style="47" customWidth="1"/>
    <col min="8964" max="8964" width="8.8984375" style="47" customWidth="1"/>
    <col min="8965" max="8965" width="17.69921875" style="47" customWidth="1"/>
    <col min="8966" max="8966" width="6.3984375" style="47" customWidth="1"/>
    <col min="8967" max="8967" width="8.8984375" style="47" customWidth="1"/>
    <col min="8968" max="8968" width="9.69921875" style="47" customWidth="1"/>
    <col min="8969" max="8969" width="17.5" style="47" bestFit="1" customWidth="1"/>
    <col min="8970" max="8970" width="15.59765625" style="47" customWidth="1"/>
    <col min="8971" max="8971" width="13.69921875" style="47" bestFit="1" customWidth="1"/>
    <col min="8972" max="8972" width="10.8984375" style="47" bestFit="1" customWidth="1"/>
    <col min="8973" max="9216" width="9" style="47"/>
    <col min="9217" max="9217" width="0.5" style="47" customWidth="1"/>
    <col min="9218" max="9218" width="5.19921875" style="47" bestFit="1" customWidth="1"/>
    <col min="9219" max="9219" width="7.3984375" style="47" customWidth="1"/>
    <col min="9220" max="9220" width="8.8984375" style="47" customWidth="1"/>
    <col min="9221" max="9221" width="17.69921875" style="47" customWidth="1"/>
    <col min="9222" max="9222" width="6.3984375" style="47" customWidth="1"/>
    <col min="9223" max="9223" width="8.8984375" style="47" customWidth="1"/>
    <col min="9224" max="9224" width="9.69921875" style="47" customWidth="1"/>
    <col min="9225" max="9225" width="17.5" style="47" bestFit="1" customWidth="1"/>
    <col min="9226" max="9226" width="15.59765625" style="47" customWidth="1"/>
    <col min="9227" max="9227" width="13.69921875" style="47" bestFit="1" customWidth="1"/>
    <col min="9228" max="9228" width="10.8984375" style="47" bestFit="1" customWidth="1"/>
    <col min="9229" max="9472" width="9" style="47"/>
    <col min="9473" max="9473" width="0.5" style="47" customWidth="1"/>
    <col min="9474" max="9474" width="5.19921875" style="47" bestFit="1" customWidth="1"/>
    <col min="9475" max="9475" width="7.3984375" style="47" customWidth="1"/>
    <col min="9476" max="9476" width="8.8984375" style="47" customWidth="1"/>
    <col min="9477" max="9477" width="17.69921875" style="47" customWidth="1"/>
    <col min="9478" max="9478" width="6.3984375" style="47" customWidth="1"/>
    <col min="9479" max="9479" width="8.8984375" style="47" customWidth="1"/>
    <col min="9480" max="9480" width="9.69921875" style="47" customWidth="1"/>
    <col min="9481" max="9481" width="17.5" style="47" bestFit="1" customWidth="1"/>
    <col min="9482" max="9482" width="15.59765625" style="47" customWidth="1"/>
    <col min="9483" max="9483" width="13.69921875" style="47" bestFit="1" customWidth="1"/>
    <col min="9484" max="9484" width="10.8984375" style="47" bestFit="1" customWidth="1"/>
    <col min="9485" max="9728" width="9" style="47"/>
    <col min="9729" max="9729" width="0.5" style="47" customWidth="1"/>
    <col min="9730" max="9730" width="5.19921875" style="47" bestFit="1" customWidth="1"/>
    <col min="9731" max="9731" width="7.3984375" style="47" customWidth="1"/>
    <col min="9732" max="9732" width="8.8984375" style="47" customWidth="1"/>
    <col min="9733" max="9733" width="17.69921875" style="47" customWidth="1"/>
    <col min="9734" max="9734" width="6.3984375" style="47" customWidth="1"/>
    <col min="9735" max="9735" width="8.8984375" style="47" customWidth="1"/>
    <col min="9736" max="9736" width="9.69921875" style="47" customWidth="1"/>
    <col min="9737" max="9737" width="17.5" style="47" bestFit="1" customWidth="1"/>
    <col min="9738" max="9738" width="15.59765625" style="47" customWidth="1"/>
    <col min="9739" max="9739" width="13.69921875" style="47" bestFit="1" customWidth="1"/>
    <col min="9740" max="9740" width="10.8984375" style="47" bestFit="1" customWidth="1"/>
    <col min="9741" max="9984" width="9" style="47"/>
    <col min="9985" max="9985" width="0.5" style="47" customWidth="1"/>
    <col min="9986" max="9986" width="5.19921875" style="47" bestFit="1" customWidth="1"/>
    <col min="9987" max="9987" width="7.3984375" style="47" customWidth="1"/>
    <col min="9988" max="9988" width="8.8984375" style="47" customWidth="1"/>
    <col min="9989" max="9989" width="17.69921875" style="47" customWidth="1"/>
    <col min="9990" max="9990" width="6.3984375" style="47" customWidth="1"/>
    <col min="9991" max="9991" width="8.8984375" style="47" customWidth="1"/>
    <col min="9992" max="9992" width="9.69921875" style="47" customWidth="1"/>
    <col min="9993" max="9993" width="17.5" style="47" bestFit="1" customWidth="1"/>
    <col min="9994" max="9994" width="15.59765625" style="47" customWidth="1"/>
    <col min="9995" max="9995" width="13.69921875" style="47" bestFit="1" customWidth="1"/>
    <col min="9996" max="9996" width="10.8984375" style="47" bestFit="1" customWidth="1"/>
    <col min="9997" max="10240" width="9" style="47"/>
    <col min="10241" max="10241" width="0.5" style="47" customWidth="1"/>
    <col min="10242" max="10242" width="5.19921875" style="47" bestFit="1" customWidth="1"/>
    <col min="10243" max="10243" width="7.3984375" style="47" customWidth="1"/>
    <col min="10244" max="10244" width="8.8984375" style="47" customWidth="1"/>
    <col min="10245" max="10245" width="17.69921875" style="47" customWidth="1"/>
    <col min="10246" max="10246" width="6.3984375" style="47" customWidth="1"/>
    <col min="10247" max="10247" width="8.8984375" style="47" customWidth="1"/>
    <col min="10248" max="10248" width="9.69921875" style="47" customWidth="1"/>
    <col min="10249" max="10249" width="17.5" style="47" bestFit="1" customWidth="1"/>
    <col min="10250" max="10250" width="15.59765625" style="47" customWidth="1"/>
    <col min="10251" max="10251" width="13.69921875" style="47" bestFit="1" customWidth="1"/>
    <col min="10252" max="10252" width="10.8984375" style="47" bestFit="1" customWidth="1"/>
    <col min="10253" max="10496" width="9" style="47"/>
    <col min="10497" max="10497" width="0.5" style="47" customWidth="1"/>
    <col min="10498" max="10498" width="5.19921875" style="47" bestFit="1" customWidth="1"/>
    <col min="10499" max="10499" width="7.3984375" style="47" customWidth="1"/>
    <col min="10500" max="10500" width="8.8984375" style="47" customWidth="1"/>
    <col min="10501" max="10501" width="17.69921875" style="47" customWidth="1"/>
    <col min="10502" max="10502" width="6.3984375" style="47" customWidth="1"/>
    <col min="10503" max="10503" width="8.8984375" style="47" customWidth="1"/>
    <col min="10504" max="10504" width="9.69921875" style="47" customWidth="1"/>
    <col min="10505" max="10505" width="17.5" style="47" bestFit="1" customWidth="1"/>
    <col min="10506" max="10506" width="15.59765625" style="47" customWidth="1"/>
    <col min="10507" max="10507" width="13.69921875" style="47" bestFit="1" customWidth="1"/>
    <col min="10508" max="10508" width="10.8984375" style="47" bestFit="1" customWidth="1"/>
    <col min="10509" max="10752" width="9" style="47"/>
    <col min="10753" max="10753" width="0.5" style="47" customWidth="1"/>
    <col min="10754" max="10754" width="5.19921875" style="47" bestFit="1" customWidth="1"/>
    <col min="10755" max="10755" width="7.3984375" style="47" customWidth="1"/>
    <col min="10756" max="10756" width="8.8984375" style="47" customWidth="1"/>
    <col min="10757" max="10757" width="17.69921875" style="47" customWidth="1"/>
    <col min="10758" max="10758" width="6.3984375" style="47" customWidth="1"/>
    <col min="10759" max="10759" width="8.8984375" style="47" customWidth="1"/>
    <col min="10760" max="10760" width="9.69921875" style="47" customWidth="1"/>
    <col min="10761" max="10761" width="17.5" style="47" bestFit="1" customWidth="1"/>
    <col min="10762" max="10762" width="15.59765625" style="47" customWidth="1"/>
    <col min="10763" max="10763" width="13.69921875" style="47" bestFit="1" customWidth="1"/>
    <col min="10764" max="10764" width="10.8984375" style="47" bestFit="1" customWidth="1"/>
    <col min="10765" max="11008" width="9" style="47"/>
    <col min="11009" max="11009" width="0.5" style="47" customWidth="1"/>
    <col min="11010" max="11010" width="5.19921875" style="47" bestFit="1" customWidth="1"/>
    <col min="11011" max="11011" width="7.3984375" style="47" customWidth="1"/>
    <col min="11012" max="11012" width="8.8984375" style="47" customWidth="1"/>
    <col min="11013" max="11013" width="17.69921875" style="47" customWidth="1"/>
    <col min="11014" max="11014" width="6.3984375" style="47" customWidth="1"/>
    <col min="11015" max="11015" width="8.8984375" style="47" customWidth="1"/>
    <col min="11016" max="11016" width="9.69921875" style="47" customWidth="1"/>
    <col min="11017" max="11017" width="17.5" style="47" bestFit="1" customWidth="1"/>
    <col min="11018" max="11018" width="15.59765625" style="47" customWidth="1"/>
    <col min="11019" max="11019" width="13.69921875" style="47" bestFit="1" customWidth="1"/>
    <col min="11020" max="11020" width="10.8984375" style="47" bestFit="1" customWidth="1"/>
    <col min="11021" max="11264" width="9" style="47"/>
    <col min="11265" max="11265" width="0.5" style="47" customWidth="1"/>
    <col min="11266" max="11266" width="5.19921875" style="47" bestFit="1" customWidth="1"/>
    <col min="11267" max="11267" width="7.3984375" style="47" customWidth="1"/>
    <col min="11268" max="11268" width="8.8984375" style="47" customWidth="1"/>
    <col min="11269" max="11269" width="17.69921875" style="47" customWidth="1"/>
    <col min="11270" max="11270" width="6.3984375" style="47" customWidth="1"/>
    <col min="11271" max="11271" width="8.8984375" style="47" customWidth="1"/>
    <col min="11272" max="11272" width="9.69921875" style="47" customWidth="1"/>
    <col min="11273" max="11273" width="17.5" style="47" bestFit="1" customWidth="1"/>
    <col min="11274" max="11274" width="15.59765625" style="47" customWidth="1"/>
    <col min="11275" max="11275" width="13.69921875" style="47" bestFit="1" customWidth="1"/>
    <col min="11276" max="11276" width="10.8984375" style="47" bestFit="1" customWidth="1"/>
    <col min="11277" max="11520" width="9" style="47"/>
    <col min="11521" max="11521" width="0.5" style="47" customWidth="1"/>
    <col min="11522" max="11522" width="5.19921875" style="47" bestFit="1" customWidth="1"/>
    <col min="11523" max="11523" width="7.3984375" style="47" customWidth="1"/>
    <col min="11524" max="11524" width="8.8984375" style="47" customWidth="1"/>
    <col min="11525" max="11525" width="17.69921875" style="47" customWidth="1"/>
    <col min="11526" max="11526" width="6.3984375" style="47" customWidth="1"/>
    <col min="11527" max="11527" width="8.8984375" style="47" customWidth="1"/>
    <col min="11528" max="11528" width="9.69921875" style="47" customWidth="1"/>
    <col min="11529" max="11529" width="17.5" style="47" bestFit="1" customWidth="1"/>
    <col min="11530" max="11530" width="15.59765625" style="47" customWidth="1"/>
    <col min="11531" max="11531" width="13.69921875" style="47" bestFit="1" customWidth="1"/>
    <col min="11532" max="11532" width="10.8984375" style="47" bestFit="1" customWidth="1"/>
    <col min="11533" max="11776" width="9" style="47"/>
    <col min="11777" max="11777" width="0.5" style="47" customWidth="1"/>
    <col min="11778" max="11778" width="5.19921875" style="47" bestFit="1" customWidth="1"/>
    <col min="11779" max="11779" width="7.3984375" style="47" customWidth="1"/>
    <col min="11780" max="11780" width="8.8984375" style="47" customWidth="1"/>
    <col min="11781" max="11781" width="17.69921875" style="47" customWidth="1"/>
    <col min="11782" max="11782" width="6.3984375" style="47" customWidth="1"/>
    <col min="11783" max="11783" width="8.8984375" style="47" customWidth="1"/>
    <col min="11784" max="11784" width="9.69921875" style="47" customWidth="1"/>
    <col min="11785" max="11785" width="17.5" style="47" bestFit="1" customWidth="1"/>
    <col min="11786" max="11786" width="15.59765625" style="47" customWidth="1"/>
    <col min="11787" max="11787" width="13.69921875" style="47" bestFit="1" customWidth="1"/>
    <col min="11788" max="11788" width="10.8984375" style="47" bestFit="1" customWidth="1"/>
    <col min="11789" max="12032" width="9" style="47"/>
    <col min="12033" max="12033" width="0.5" style="47" customWidth="1"/>
    <col min="12034" max="12034" width="5.19921875" style="47" bestFit="1" customWidth="1"/>
    <col min="12035" max="12035" width="7.3984375" style="47" customWidth="1"/>
    <col min="12036" max="12036" width="8.8984375" style="47" customWidth="1"/>
    <col min="12037" max="12037" width="17.69921875" style="47" customWidth="1"/>
    <col min="12038" max="12038" width="6.3984375" style="47" customWidth="1"/>
    <col min="12039" max="12039" width="8.8984375" style="47" customWidth="1"/>
    <col min="12040" max="12040" width="9.69921875" style="47" customWidth="1"/>
    <col min="12041" max="12041" width="17.5" style="47" bestFit="1" customWidth="1"/>
    <col min="12042" max="12042" width="15.59765625" style="47" customWidth="1"/>
    <col min="12043" max="12043" width="13.69921875" style="47" bestFit="1" customWidth="1"/>
    <col min="12044" max="12044" width="10.8984375" style="47" bestFit="1" customWidth="1"/>
    <col min="12045" max="12288" width="9" style="47"/>
    <col min="12289" max="12289" width="0.5" style="47" customWidth="1"/>
    <col min="12290" max="12290" width="5.19921875" style="47" bestFit="1" customWidth="1"/>
    <col min="12291" max="12291" width="7.3984375" style="47" customWidth="1"/>
    <col min="12292" max="12292" width="8.8984375" style="47" customWidth="1"/>
    <col min="12293" max="12293" width="17.69921875" style="47" customWidth="1"/>
    <col min="12294" max="12294" width="6.3984375" style="47" customWidth="1"/>
    <col min="12295" max="12295" width="8.8984375" style="47" customWidth="1"/>
    <col min="12296" max="12296" width="9.69921875" style="47" customWidth="1"/>
    <col min="12297" max="12297" width="17.5" style="47" bestFit="1" customWidth="1"/>
    <col min="12298" max="12298" width="15.59765625" style="47" customWidth="1"/>
    <col min="12299" max="12299" width="13.69921875" style="47" bestFit="1" customWidth="1"/>
    <col min="12300" max="12300" width="10.8984375" style="47" bestFit="1" customWidth="1"/>
    <col min="12301" max="12544" width="9" style="47"/>
    <col min="12545" max="12545" width="0.5" style="47" customWidth="1"/>
    <col min="12546" max="12546" width="5.19921875" style="47" bestFit="1" customWidth="1"/>
    <col min="12547" max="12547" width="7.3984375" style="47" customWidth="1"/>
    <col min="12548" max="12548" width="8.8984375" style="47" customWidth="1"/>
    <col min="12549" max="12549" width="17.69921875" style="47" customWidth="1"/>
    <col min="12550" max="12550" width="6.3984375" style="47" customWidth="1"/>
    <col min="12551" max="12551" width="8.8984375" style="47" customWidth="1"/>
    <col min="12552" max="12552" width="9.69921875" style="47" customWidth="1"/>
    <col min="12553" max="12553" width="17.5" style="47" bestFit="1" customWidth="1"/>
    <col min="12554" max="12554" width="15.59765625" style="47" customWidth="1"/>
    <col min="12555" max="12555" width="13.69921875" style="47" bestFit="1" customWidth="1"/>
    <col min="12556" max="12556" width="10.8984375" style="47" bestFit="1" customWidth="1"/>
    <col min="12557" max="12800" width="9" style="47"/>
    <col min="12801" max="12801" width="0.5" style="47" customWidth="1"/>
    <col min="12802" max="12802" width="5.19921875" style="47" bestFit="1" customWidth="1"/>
    <col min="12803" max="12803" width="7.3984375" style="47" customWidth="1"/>
    <col min="12804" max="12804" width="8.8984375" style="47" customWidth="1"/>
    <col min="12805" max="12805" width="17.69921875" style="47" customWidth="1"/>
    <col min="12806" max="12806" width="6.3984375" style="47" customWidth="1"/>
    <col min="12807" max="12807" width="8.8984375" style="47" customWidth="1"/>
    <col min="12808" max="12808" width="9.69921875" style="47" customWidth="1"/>
    <col min="12809" max="12809" width="17.5" style="47" bestFit="1" customWidth="1"/>
    <col min="12810" max="12810" width="15.59765625" style="47" customWidth="1"/>
    <col min="12811" max="12811" width="13.69921875" style="47" bestFit="1" customWidth="1"/>
    <col min="12812" max="12812" width="10.8984375" style="47" bestFit="1" customWidth="1"/>
    <col min="12813" max="13056" width="9" style="47"/>
    <col min="13057" max="13057" width="0.5" style="47" customWidth="1"/>
    <col min="13058" max="13058" width="5.19921875" style="47" bestFit="1" customWidth="1"/>
    <col min="13059" max="13059" width="7.3984375" style="47" customWidth="1"/>
    <col min="13060" max="13060" width="8.8984375" style="47" customWidth="1"/>
    <col min="13061" max="13061" width="17.69921875" style="47" customWidth="1"/>
    <col min="13062" max="13062" width="6.3984375" style="47" customWidth="1"/>
    <col min="13063" max="13063" width="8.8984375" style="47" customWidth="1"/>
    <col min="13064" max="13064" width="9.69921875" style="47" customWidth="1"/>
    <col min="13065" max="13065" width="17.5" style="47" bestFit="1" customWidth="1"/>
    <col min="13066" max="13066" width="15.59765625" style="47" customWidth="1"/>
    <col min="13067" max="13067" width="13.69921875" style="47" bestFit="1" customWidth="1"/>
    <col min="13068" max="13068" width="10.8984375" style="47" bestFit="1" customWidth="1"/>
    <col min="13069" max="13312" width="9" style="47"/>
    <col min="13313" max="13313" width="0.5" style="47" customWidth="1"/>
    <col min="13314" max="13314" width="5.19921875" style="47" bestFit="1" customWidth="1"/>
    <col min="13315" max="13315" width="7.3984375" style="47" customWidth="1"/>
    <col min="13316" max="13316" width="8.8984375" style="47" customWidth="1"/>
    <col min="13317" max="13317" width="17.69921875" style="47" customWidth="1"/>
    <col min="13318" max="13318" width="6.3984375" style="47" customWidth="1"/>
    <col min="13319" max="13319" width="8.8984375" style="47" customWidth="1"/>
    <col min="13320" max="13320" width="9.69921875" style="47" customWidth="1"/>
    <col min="13321" max="13321" width="17.5" style="47" bestFit="1" customWidth="1"/>
    <col min="13322" max="13322" width="15.59765625" style="47" customWidth="1"/>
    <col min="13323" max="13323" width="13.69921875" style="47" bestFit="1" customWidth="1"/>
    <col min="13324" max="13324" width="10.8984375" style="47" bestFit="1" customWidth="1"/>
    <col min="13325" max="13568" width="9" style="47"/>
    <col min="13569" max="13569" width="0.5" style="47" customWidth="1"/>
    <col min="13570" max="13570" width="5.19921875" style="47" bestFit="1" customWidth="1"/>
    <col min="13571" max="13571" width="7.3984375" style="47" customWidth="1"/>
    <col min="13572" max="13572" width="8.8984375" style="47" customWidth="1"/>
    <col min="13573" max="13573" width="17.69921875" style="47" customWidth="1"/>
    <col min="13574" max="13574" width="6.3984375" style="47" customWidth="1"/>
    <col min="13575" max="13575" width="8.8984375" style="47" customWidth="1"/>
    <col min="13576" max="13576" width="9.69921875" style="47" customWidth="1"/>
    <col min="13577" max="13577" width="17.5" style="47" bestFit="1" customWidth="1"/>
    <col min="13578" max="13578" width="15.59765625" style="47" customWidth="1"/>
    <col min="13579" max="13579" width="13.69921875" style="47" bestFit="1" customWidth="1"/>
    <col min="13580" max="13580" width="10.8984375" style="47" bestFit="1" customWidth="1"/>
    <col min="13581" max="13824" width="9" style="47"/>
    <col min="13825" max="13825" width="0.5" style="47" customWidth="1"/>
    <col min="13826" max="13826" width="5.19921875" style="47" bestFit="1" customWidth="1"/>
    <col min="13827" max="13827" width="7.3984375" style="47" customWidth="1"/>
    <col min="13828" max="13828" width="8.8984375" style="47" customWidth="1"/>
    <col min="13829" max="13829" width="17.69921875" style="47" customWidth="1"/>
    <col min="13830" max="13830" width="6.3984375" style="47" customWidth="1"/>
    <col min="13831" max="13831" width="8.8984375" style="47" customWidth="1"/>
    <col min="13832" max="13832" width="9.69921875" style="47" customWidth="1"/>
    <col min="13833" max="13833" width="17.5" style="47" bestFit="1" customWidth="1"/>
    <col min="13834" max="13834" width="15.59765625" style="47" customWidth="1"/>
    <col min="13835" max="13835" width="13.69921875" style="47" bestFit="1" customWidth="1"/>
    <col min="13836" max="13836" width="10.8984375" style="47" bestFit="1" customWidth="1"/>
    <col min="13837" max="14080" width="9" style="47"/>
    <col min="14081" max="14081" width="0.5" style="47" customWidth="1"/>
    <col min="14082" max="14082" width="5.19921875" style="47" bestFit="1" customWidth="1"/>
    <col min="14083" max="14083" width="7.3984375" style="47" customWidth="1"/>
    <col min="14084" max="14084" width="8.8984375" style="47" customWidth="1"/>
    <col min="14085" max="14085" width="17.69921875" style="47" customWidth="1"/>
    <col min="14086" max="14086" width="6.3984375" style="47" customWidth="1"/>
    <col min="14087" max="14087" width="8.8984375" style="47" customWidth="1"/>
    <col min="14088" max="14088" width="9.69921875" style="47" customWidth="1"/>
    <col min="14089" max="14089" width="17.5" style="47" bestFit="1" customWidth="1"/>
    <col min="14090" max="14090" width="15.59765625" style="47" customWidth="1"/>
    <col min="14091" max="14091" width="13.69921875" style="47" bestFit="1" customWidth="1"/>
    <col min="14092" max="14092" width="10.8984375" style="47" bestFit="1" customWidth="1"/>
    <col min="14093" max="14336" width="9" style="47"/>
    <col min="14337" max="14337" width="0.5" style="47" customWidth="1"/>
    <col min="14338" max="14338" width="5.19921875" style="47" bestFit="1" customWidth="1"/>
    <col min="14339" max="14339" width="7.3984375" style="47" customWidth="1"/>
    <col min="14340" max="14340" width="8.8984375" style="47" customWidth="1"/>
    <col min="14341" max="14341" width="17.69921875" style="47" customWidth="1"/>
    <col min="14342" max="14342" width="6.3984375" style="47" customWidth="1"/>
    <col min="14343" max="14343" width="8.8984375" style="47" customWidth="1"/>
    <col min="14344" max="14344" width="9.69921875" style="47" customWidth="1"/>
    <col min="14345" max="14345" width="17.5" style="47" bestFit="1" customWidth="1"/>
    <col min="14346" max="14346" width="15.59765625" style="47" customWidth="1"/>
    <col min="14347" max="14347" width="13.69921875" style="47" bestFit="1" customWidth="1"/>
    <col min="14348" max="14348" width="10.8984375" style="47" bestFit="1" customWidth="1"/>
    <col min="14349" max="14592" width="9" style="47"/>
    <col min="14593" max="14593" width="0.5" style="47" customWidth="1"/>
    <col min="14594" max="14594" width="5.19921875" style="47" bestFit="1" customWidth="1"/>
    <col min="14595" max="14595" width="7.3984375" style="47" customWidth="1"/>
    <col min="14596" max="14596" width="8.8984375" style="47" customWidth="1"/>
    <col min="14597" max="14597" width="17.69921875" style="47" customWidth="1"/>
    <col min="14598" max="14598" width="6.3984375" style="47" customWidth="1"/>
    <col min="14599" max="14599" width="8.8984375" style="47" customWidth="1"/>
    <col min="14600" max="14600" width="9.69921875" style="47" customWidth="1"/>
    <col min="14601" max="14601" width="17.5" style="47" bestFit="1" customWidth="1"/>
    <col min="14602" max="14602" width="15.59765625" style="47" customWidth="1"/>
    <col min="14603" max="14603" width="13.69921875" style="47" bestFit="1" customWidth="1"/>
    <col min="14604" max="14604" width="10.8984375" style="47" bestFit="1" customWidth="1"/>
    <col min="14605" max="14848" width="9" style="47"/>
    <col min="14849" max="14849" width="0.5" style="47" customWidth="1"/>
    <col min="14850" max="14850" width="5.19921875" style="47" bestFit="1" customWidth="1"/>
    <col min="14851" max="14851" width="7.3984375" style="47" customWidth="1"/>
    <col min="14852" max="14852" width="8.8984375" style="47" customWidth="1"/>
    <col min="14853" max="14853" width="17.69921875" style="47" customWidth="1"/>
    <col min="14854" max="14854" width="6.3984375" style="47" customWidth="1"/>
    <col min="14855" max="14855" width="8.8984375" style="47" customWidth="1"/>
    <col min="14856" max="14856" width="9.69921875" style="47" customWidth="1"/>
    <col min="14857" max="14857" width="17.5" style="47" bestFit="1" customWidth="1"/>
    <col min="14858" max="14858" width="15.59765625" style="47" customWidth="1"/>
    <col min="14859" max="14859" width="13.69921875" style="47" bestFit="1" customWidth="1"/>
    <col min="14860" max="14860" width="10.8984375" style="47" bestFit="1" customWidth="1"/>
    <col min="14861" max="15104" width="9" style="47"/>
    <col min="15105" max="15105" width="0.5" style="47" customWidth="1"/>
    <col min="15106" max="15106" width="5.19921875" style="47" bestFit="1" customWidth="1"/>
    <col min="15107" max="15107" width="7.3984375" style="47" customWidth="1"/>
    <col min="15108" max="15108" width="8.8984375" style="47" customWidth="1"/>
    <col min="15109" max="15109" width="17.69921875" style="47" customWidth="1"/>
    <col min="15110" max="15110" width="6.3984375" style="47" customWidth="1"/>
    <col min="15111" max="15111" width="8.8984375" style="47" customWidth="1"/>
    <col min="15112" max="15112" width="9.69921875" style="47" customWidth="1"/>
    <col min="15113" max="15113" width="17.5" style="47" bestFit="1" customWidth="1"/>
    <col min="15114" max="15114" width="15.59765625" style="47" customWidth="1"/>
    <col min="15115" max="15115" width="13.69921875" style="47" bestFit="1" customWidth="1"/>
    <col min="15116" max="15116" width="10.8984375" style="47" bestFit="1" customWidth="1"/>
    <col min="15117" max="15360" width="9" style="47"/>
    <col min="15361" max="15361" width="0.5" style="47" customWidth="1"/>
    <col min="15362" max="15362" width="5.19921875" style="47" bestFit="1" customWidth="1"/>
    <col min="15363" max="15363" width="7.3984375" style="47" customWidth="1"/>
    <col min="15364" max="15364" width="8.8984375" style="47" customWidth="1"/>
    <col min="15365" max="15365" width="17.69921875" style="47" customWidth="1"/>
    <col min="15366" max="15366" width="6.3984375" style="47" customWidth="1"/>
    <col min="15367" max="15367" width="8.8984375" style="47" customWidth="1"/>
    <col min="15368" max="15368" width="9.69921875" style="47" customWidth="1"/>
    <col min="15369" max="15369" width="17.5" style="47" bestFit="1" customWidth="1"/>
    <col min="15370" max="15370" width="15.59765625" style="47" customWidth="1"/>
    <col min="15371" max="15371" width="13.69921875" style="47" bestFit="1" customWidth="1"/>
    <col min="15372" max="15372" width="10.8984375" style="47" bestFit="1" customWidth="1"/>
    <col min="15373" max="15616" width="9" style="47"/>
    <col min="15617" max="15617" width="0.5" style="47" customWidth="1"/>
    <col min="15618" max="15618" width="5.19921875" style="47" bestFit="1" customWidth="1"/>
    <col min="15619" max="15619" width="7.3984375" style="47" customWidth="1"/>
    <col min="15620" max="15620" width="8.8984375" style="47" customWidth="1"/>
    <col min="15621" max="15621" width="17.69921875" style="47" customWidth="1"/>
    <col min="15622" max="15622" width="6.3984375" style="47" customWidth="1"/>
    <col min="15623" max="15623" width="8.8984375" style="47" customWidth="1"/>
    <col min="15624" max="15624" width="9.69921875" style="47" customWidth="1"/>
    <col min="15625" max="15625" width="17.5" style="47" bestFit="1" customWidth="1"/>
    <col min="15626" max="15626" width="15.59765625" style="47" customWidth="1"/>
    <col min="15627" max="15627" width="13.69921875" style="47" bestFit="1" customWidth="1"/>
    <col min="15628" max="15628" width="10.8984375" style="47" bestFit="1" customWidth="1"/>
    <col min="15629" max="15872" width="9" style="47"/>
    <col min="15873" max="15873" width="0.5" style="47" customWidth="1"/>
    <col min="15874" max="15874" width="5.19921875" style="47" bestFit="1" customWidth="1"/>
    <col min="15875" max="15875" width="7.3984375" style="47" customWidth="1"/>
    <col min="15876" max="15876" width="8.8984375" style="47" customWidth="1"/>
    <col min="15877" max="15877" width="17.69921875" style="47" customWidth="1"/>
    <col min="15878" max="15878" width="6.3984375" style="47" customWidth="1"/>
    <col min="15879" max="15879" width="8.8984375" style="47" customWidth="1"/>
    <col min="15880" max="15880" width="9.69921875" style="47" customWidth="1"/>
    <col min="15881" max="15881" width="17.5" style="47" bestFit="1" customWidth="1"/>
    <col min="15882" max="15882" width="15.59765625" style="47" customWidth="1"/>
    <col min="15883" max="15883" width="13.69921875" style="47" bestFit="1" customWidth="1"/>
    <col min="15884" max="15884" width="10.8984375" style="47" bestFit="1" customWidth="1"/>
    <col min="15885" max="16128" width="9" style="47"/>
    <col min="16129" max="16129" width="0.5" style="47" customWidth="1"/>
    <col min="16130" max="16130" width="5.19921875" style="47" bestFit="1" customWidth="1"/>
    <col min="16131" max="16131" width="7.3984375" style="47" customWidth="1"/>
    <col min="16132" max="16132" width="8.8984375" style="47" customWidth="1"/>
    <col min="16133" max="16133" width="17.69921875" style="47" customWidth="1"/>
    <col min="16134" max="16134" width="6.3984375" style="47" customWidth="1"/>
    <col min="16135" max="16135" width="8.8984375" style="47" customWidth="1"/>
    <col min="16136" max="16136" width="9.69921875" style="47" customWidth="1"/>
    <col min="16137" max="16137" width="17.5" style="47" bestFit="1" customWidth="1"/>
    <col min="16138" max="16138" width="15.59765625" style="47" customWidth="1"/>
    <col min="16139" max="16139" width="13.69921875" style="47" bestFit="1" customWidth="1"/>
    <col min="16140" max="16140" width="10.8984375" style="47" bestFit="1" customWidth="1"/>
    <col min="16141" max="16384" width="9" style="47"/>
  </cols>
  <sheetData>
    <row r="2" spans="2:11" s="45" customFormat="1" ht="26.25" customHeight="1">
      <c r="B2" s="38"/>
      <c r="C2" s="39" t="s">
        <v>32</v>
      </c>
      <c r="D2" s="40"/>
      <c r="E2" s="40"/>
      <c r="F2" s="41"/>
      <c r="G2" s="42"/>
      <c r="H2" s="43"/>
      <c r="I2" s="43"/>
      <c r="J2" s="40"/>
      <c r="K2" s="44"/>
    </row>
    <row r="3" spans="2:11" s="45" customFormat="1" ht="19.5" customHeight="1">
      <c r="B3" s="38"/>
      <c r="C3" s="39"/>
      <c r="D3" s="40"/>
      <c r="E3" s="40"/>
      <c r="F3" s="41"/>
      <c r="G3" s="42"/>
      <c r="H3" s="43"/>
      <c r="I3" s="43"/>
      <c r="J3" s="40"/>
      <c r="K3" s="44"/>
    </row>
    <row r="4" spans="2:11" ht="30" customHeight="1">
      <c r="B4" s="46" t="s">
        <v>33</v>
      </c>
      <c r="D4" s="48"/>
      <c r="J4" s="49"/>
    </row>
    <row r="5" spans="2:11" s="49" customFormat="1" ht="8.25" customHeight="1">
      <c r="B5" s="53"/>
      <c r="C5" s="468"/>
      <c r="D5" s="469"/>
      <c r="E5" s="470"/>
      <c r="F5" s="54"/>
      <c r="G5" s="55"/>
      <c r="H5" s="55"/>
      <c r="I5" s="55"/>
      <c r="J5" s="56"/>
      <c r="K5" s="57"/>
    </row>
    <row r="6" spans="2:11" s="49" customFormat="1" ht="22.5" customHeight="1" thickBot="1">
      <c r="B6" s="58" t="s">
        <v>34</v>
      </c>
      <c r="C6" s="471" t="s">
        <v>35</v>
      </c>
      <c r="D6" s="472"/>
      <c r="E6" s="473"/>
      <c r="F6" s="59" t="s">
        <v>36</v>
      </c>
      <c r="G6" s="60" t="s">
        <v>37</v>
      </c>
      <c r="H6" s="60" t="s">
        <v>38</v>
      </c>
      <c r="I6" s="60" t="s">
        <v>39</v>
      </c>
      <c r="J6" s="61" t="s">
        <v>40</v>
      </c>
      <c r="K6" s="57"/>
    </row>
    <row r="7" spans="2:11" ht="19.5" customHeight="1" thickTop="1">
      <c r="B7" s="474">
        <v>1</v>
      </c>
      <c r="C7" s="476" t="s">
        <v>41</v>
      </c>
      <c r="D7" s="463" t="s">
        <v>42</v>
      </c>
      <c r="E7" s="62" t="s">
        <v>43</v>
      </c>
      <c r="F7" s="63" t="s">
        <v>44</v>
      </c>
      <c r="G7" s="64">
        <f>단위장비1!F26+단위장비2!F25+단위장비3!F23+단위장비5!F24+단위장비4!F26+단위장비6!F26+단위장비7!F17+단위장비8!F26+단위장비9!F22+단위장비10!F21+단위장비11!F22+단위장비12!F21+단위장비13!F20+단위장비14!F23+단위장비15!F18+단위장비16!F16</f>
        <v>0</v>
      </c>
      <c r="H7" s="65"/>
      <c r="I7" s="65">
        <f>단위장비1!H20+단위장비2!H19+단위장비3!H17+단위장비5!H18+단위장비4!H20+단위장비6!H20+단위장비7!H11+단위장비8!H20+단위장비9!H16+단위장비10!H15+단위장비11!H16+단위장비12!H15+단위장비13!H14+단위장비14!H17+단위장비15!H12</f>
        <v>533400000</v>
      </c>
      <c r="J7" s="66" t="s">
        <v>45</v>
      </c>
    </row>
    <row r="8" spans="2:11" ht="19.5" customHeight="1">
      <c r="B8" s="474"/>
      <c r="C8" s="463"/>
      <c r="D8" s="463"/>
      <c r="E8" s="67" t="s">
        <v>46</v>
      </c>
      <c r="F8" s="68" t="s">
        <v>47</v>
      </c>
      <c r="G8" s="69">
        <v>1</v>
      </c>
      <c r="H8" s="70"/>
      <c r="I8" s="70">
        <f>단위장비1!H51+단위장비2!H41+단위장비3!H45+단위장비5!H46+단위장비4!H53+단위장비6!H41+단위장비7!H32+단위장비8!H43+단위장비9!H43+단위장비10!H46+단위장비11!H45+단위장비12!H44+단위장비13!H37+단위장비14!H41+단위장비15!H28</f>
        <v>628550000</v>
      </c>
      <c r="J8" s="71" t="s">
        <v>48</v>
      </c>
    </row>
    <row r="9" spans="2:11" ht="19.5" customHeight="1">
      <c r="B9" s="474"/>
      <c r="C9" s="463"/>
      <c r="D9" s="463"/>
      <c r="E9" s="67" t="s">
        <v>49</v>
      </c>
      <c r="F9" s="68" t="s">
        <v>47</v>
      </c>
      <c r="G9" s="72">
        <v>1</v>
      </c>
      <c r="H9" s="70"/>
      <c r="I9" s="70">
        <f>단위장비1!H59+단위장비2!H49+단위장비3!H50+단위장비5!H54+단위장비4!H61+단위장비6!H49+단위장비7!H40+단위장비8!H51+단위장비9!H51+단위장비10!H54+단위장비11!H53+단위장비12!H52+단위장비13!H45+단위장비14!H49+단위장비15!H34</f>
        <v>1200000000</v>
      </c>
      <c r="J9" s="71" t="s">
        <v>50</v>
      </c>
    </row>
    <row r="10" spans="2:11" ht="19.5" customHeight="1">
      <c r="B10" s="474"/>
      <c r="C10" s="463"/>
      <c r="D10" s="463"/>
      <c r="E10" s="73" t="s">
        <v>51</v>
      </c>
      <c r="F10" s="74" t="s">
        <v>47</v>
      </c>
      <c r="G10" s="75">
        <v>1</v>
      </c>
      <c r="H10" s="76"/>
      <c r="I10" s="76">
        <f>단위장비1!H26+단위장비2!H25+단위장비3!H23+단위장비5!H24+단위장비4!H26+단위장비6!H26+단위장비7!H17+단위장비8!H26+단위장비9!H22+단위장비10!H21+단위장비11!H22+단위장비12!H21+단위장비13!H20+단위장비14!H23+단위장비15!H18+단위장비16!H16</f>
        <v>0</v>
      </c>
      <c r="J10" s="77" t="s">
        <v>52</v>
      </c>
    </row>
    <row r="11" spans="2:11" ht="19.5" customHeight="1">
      <c r="B11" s="474"/>
      <c r="C11" s="463"/>
      <c r="D11" s="464"/>
      <c r="E11" s="78" t="s">
        <v>53</v>
      </c>
      <c r="F11" s="459"/>
      <c r="G11" s="460"/>
      <c r="H11" s="461"/>
      <c r="I11" s="79">
        <f>SUM(I7:I10)</f>
        <v>2361950000</v>
      </c>
      <c r="J11" s="71"/>
    </row>
    <row r="12" spans="2:11" ht="19.5" customHeight="1">
      <c r="B12" s="474"/>
      <c r="C12" s="463"/>
      <c r="D12" s="462" t="s">
        <v>54</v>
      </c>
      <c r="E12" s="80" t="s">
        <v>55</v>
      </c>
      <c r="F12" s="74" t="s">
        <v>56</v>
      </c>
      <c r="G12" s="76">
        <f>단위장비1!F61+단위장비2!F51+단위장비3!F52+단위장비5!F56+단위장비4!F63+단위장비6!F51+단위장비7!F42+단위장비8!F53+단위장비9!F53+단위장비10!F56+단위장비11!F55+단위장비12!F54+단위장비13!F47+단위장비14!F51+단위장비15!F36+단위장비16!F36</f>
        <v>0</v>
      </c>
      <c r="H12" s="76" t="str">
        <f>IF(단위장비1!G61&gt;0,단위장비1!G61,"")</f>
        <v/>
      </c>
      <c r="I12" s="76">
        <f>단위장비1!H61+단위장비2!H51+단위장비3!H52+단위장비5!H56+단위장비4!H63+단위장비6!H51+단위장비7!H42+단위장비8!H53+단위장비9!H53+단위장비10!H56</f>
        <v>0</v>
      </c>
      <c r="J12" s="71" t="s">
        <v>57</v>
      </c>
    </row>
    <row r="13" spans="2:11" ht="19.5" customHeight="1">
      <c r="B13" s="474"/>
      <c r="C13" s="463"/>
      <c r="D13" s="463"/>
      <c r="E13" s="67" t="s">
        <v>58</v>
      </c>
      <c r="F13" s="68" t="s">
        <v>56</v>
      </c>
      <c r="G13" s="70">
        <f>단위장비1!F62+단위장비2!F52+단위장비3!F53+단위장비5!F57+단위장비4!F64+단위장비6!F52+단위장비7!F43+단위장비8!F54+단위장비9!F54+단위장비10!F57+단위장비11!F56+단위장비12!F55+단위장비13!F48+단위장비14!F52+단위장비15!F37+단위장비16!F37</f>
        <v>370</v>
      </c>
      <c r="H13" s="70" t="str">
        <f>IF(단위장비1!G62&gt;0,단위장비1!G62,"")</f>
        <v/>
      </c>
      <c r="I13" s="70">
        <f>단위장비1!H62+단위장비2!H52+단위장비3!H53+단위장비5!H57+단위장비4!H64+단위장비6!H52+단위장비7!H43+단위장비8!H54+단위장비9!H54+단위장비10!H57+단위장비11!H56+단위장비12!H55+단위장비13!H48+단위장비14!H52+단위장비15!H37</f>
        <v>66000000</v>
      </c>
      <c r="J13" s="71"/>
    </row>
    <row r="14" spans="2:11" ht="19.5" customHeight="1">
      <c r="B14" s="474"/>
      <c r="C14" s="463"/>
      <c r="D14" s="463"/>
      <c r="E14" s="67" t="s">
        <v>59</v>
      </c>
      <c r="F14" s="68" t="s">
        <v>56</v>
      </c>
      <c r="G14" s="70">
        <f>단위장비1!F63+단위장비2!F53+단위장비3!F54+단위장비5!F58+단위장비4!F65+단위장비6!F53+단위장비7!F44+단위장비8!F55+단위장비9!F55+단위장비10!F58+단위장비11!F57+단위장비12!F56+단위장비13!F49+단위장비14!F53+단위장비15!F38+단위장비16!F38</f>
        <v>310</v>
      </c>
      <c r="H14" s="70" t="str">
        <f>IF(단위장비1!G63&gt;0,단위장비1!G63,"")</f>
        <v/>
      </c>
      <c r="I14" s="70">
        <f>단위장비1!H63+단위장비2!H53+단위장비3!H54+단위장비5!H58+단위장비4!H65+단위장비6!H53+단위장비7!H44+단위장비8!H55+단위장비9!H55+단위장비10!H58+단위장비11!H57+단위장비12!H56+단위장비13!H49+단위장비14!H53+단위장비15!H38</f>
        <v>66000000</v>
      </c>
      <c r="J14" s="71"/>
    </row>
    <row r="15" spans="2:11" ht="19.5" customHeight="1">
      <c r="B15" s="474"/>
      <c r="C15" s="463"/>
      <c r="D15" s="463"/>
      <c r="E15" s="67" t="s">
        <v>60</v>
      </c>
      <c r="F15" s="68" t="s">
        <v>56</v>
      </c>
      <c r="G15" s="70">
        <f>단위장비1!F64+단위장비2!F54+단위장비3!F55+단위장비5!F59+단위장비4!F66+단위장비6!F54+단위장비7!F45+단위장비8!F56+단위장비9!F56+단위장비10!F59+단위장비11!F58+단위장비12!F57+단위장비13!F50+단위장비14!F54+단위장비15!F39+단위장비16!F39</f>
        <v>430</v>
      </c>
      <c r="H15" s="70" t="str">
        <f>IF(단위장비1!G64&gt;0,단위장비1!G64,"")</f>
        <v/>
      </c>
      <c r="I15" s="70">
        <f>단위장비1!H64+단위장비2!H54+단위장비3!H55+단위장비5!H59+단위장비4!H66+단위장비6!H54+단위장비7!H45+단위장비8!H56+단위장비9!H56+단위장비10!H59+단위장비11!H58+단위장비12!H57+단위장비13!H50+단위장비14!H54+단위장비15!H39</f>
        <v>93000000</v>
      </c>
      <c r="J15" s="71" t="s">
        <v>61</v>
      </c>
    </row>
    <row r="16" spans="2:11" ht="19.5" customHeight="1">
      <c r="B16" s="474"/>
      <c r="C16" s="463"/>
      <c r="D16" s="463"/>
      <c r="E16" s="80" t="s">
        <v>62</v>
      </c>
      <c r="F16" s="74" t="s">
        <v>56</v>
      </c>
      <c r="G16" s="76">
        <f>단위장비1!F65+단위장비2!F55+단위장비3!F56+단위장비5!F60+단위장비4!F67+단위장비6!F55+단위장비7!F46+단위장비8!F57+단위장비9!F57+단위장비10!F60+단위장비11!F59+단위장비12!F58+단위장비13!F51+단위장비14!F55+단위장비15!F40+단위장비16!F40</f>
        <v>120</v>
      </c>
      <c r="H16" s="76" t="str">
        <f>IF(단위장비1!G65&gt;0,단위장비1!G65,"")</f>
        <v/>
      </c>
      <c r="I16" s="76">
        <f>단위장비1!H65+단위장비2!H55+단위장비3!H56+단위장비5!H60+단위장비4!H67+단위장비6!H55+단위장비7!H46+단위장비8!H57+단위장비9!H57+단위장비10!H60+단위장비11!H59+단위장비12!H58+단위장비13!H51+단위장비14!H55+단위장비15!H40</f>
        <v>0</v>
      </c>
      <c r="J16" s="71"/>
    </row>
    <row r="17" spans="2:10" ht="19.5" customHeight="1">
      <c r="B17" s="474"/>
      <c r="C17" s="463"/>
      <c r="D17" s="463"/>
      <c r="E17" s="80" t="s">
        <v>63</v>
      </c>
      <c r="F17" s="74" t="s">
        <v>56</v>
      </c>
      <c r="G17" s="76"/>
      <c r="H17" s="76" t="str">
        <f>IF(단위장비1!G66&gt;0,단위장비1!G66,"")</f>
        <v/>
      </c>
      <c r="I17" s="76"/>
      <c r="J17" s="71"/>
    </row>
    <row r="18" spans="2:10" ht="19.5" customHeight="1">
      <c r="B18" s="474"/>
      <c r="C18" s="463"/>
      <c r="D18" s="463"/>
      <c r="E18" s="67" t="s">
        <v>64</v>
      </c>
      <c r="F18" s="68" t="s">
        <v>56</v>
      </c>
      <c r="G18" s="70">
        <f>단위장비1!F67+단위장비2!F57+단위장비3!F58+단위장비5!F62+단위장비4!F69+단위장비6!F57+단위장비7!F48+단위장비8!F59+단위장비9!F59+단위장비10!F62+단위장비11!F61+단위장비12!F60+단위장비13!F53+단위장비14!F57+단위장비15!F42+단위장비16!F42</f>
        <v>0</v>
      </c>
      <c r="H18" s="70" t="str">
        <f>IF(단위장비1!G67&gt;0,단위장비1!G67,"")</f>
        <v/>
      </c>
      <c r="I18" s="70">
        <f>단위장비1!H67+단위장비2!H57+단위장비3!H58+단위장비5!H62+단위장비4!H69+단위장비6!H57+단위장비7!H48+단위장비8!H59+단위장비9!H59+단위장비10!H62+단위장비11!H61+단위장비12!H60+단위장비13!H53+단위장비14!H57+단위장비15!H42</f>
        <v>0</v>
      </c>
      <c r="J18" s="71"/>
    </row>
    <row r="19" spans="2:10" ht="19.5" customHeight="1">
      <c r="B19" s="474"/>
      <c r="C19" s="463"/>
      <c r="D19" s="463"/>
      <c r="E19" s="67" t="s">
        <v>65</v>
      </c>
      <c r="F19" s="68" t="s">
        <v>56</v>
      </c>
      <c r="G19" s="70">
        <f>단위장비1!F68+단위장비2!F58+단위장비3!F59+단위장비5!F63+단위장비4!F70+단위장비6!F58+단위장비7!F49+단위장비8!F60+단위장비9!F60+단위장비10!F63</f>
        <v>0</v>
      </c>
      <c r="H19" s="70" t="str">
        <f>IF(단위장비1!G68&gt;0,단위장비1!G68,"")</f>
        <v/>
      </c>
      <c r="I19" s="70">
        <f>단위장비1!H68+단위장비2!H58+단위장비3!H59+단위장비5!H63+단위장비4!H70+단위장비6!H58+단위장비7!H49+단위장비8!H60+단위장비9!H60+단위장비10!H63+단위장비11!H62+단위장비12!H61+단위장비13!H54+단위장비14!H58+단위장비15!H43+단위장비16!H44</f>
        <v>0</v>
      </c>
      <c r="J19" s="71"/>
    </row>
    <row r="20" spans="2:10" ht="19.5" customHeight="1">
      <c r="B20" s="474"/>
      <c r="C20" s="463"/>
      <c r="D20" s="464"/>
      <c r="E20" s="78" t="s">
        <v>53</v>
      </c>
      <c r="F20" s="459"/>
      <c r="G20" s="460"/>
      <c r="H20" s="461"/>
      <c r="I20" s="79">
        <f>SUM(I12:I19)</f>
        <v>225000000</v>
      </c>
      <c r="J20" s="71"/>
    </row>
    <row r="21" spans="2:10" ht="19.5" customHeight="1">
      <c r="B21" s="474"/>
      <c r="C21" s="463"/>
      <c r="D21" s="81" t="s">
        <v>66</v>
      </c>
      <c r="E21" s="82"/>
      <c r="F21" s="459"/>
      <c r="G21" s="460"/>
      <c r="H21" s="461"/>
      <c r="I21" s="83">
        <f>단위장비1!H71+단위장비1!H72+단위장비2!H61+단위장비2!H62+단위장비3!H62+단위장비3!H63+단위장비5!H66+단위장비5!H67+단위장비4!H73+단위장비4!H74+단위장비6!H61+단위장비6!H62+단위장비7!H52+단위장비7!H53+단위장비8!H63+단위장비8!H64+단위장비9!H63+단위장비9!H64+단위장비10!H66+단위장비10!H67+단위장비11!H65+단위장비11!H66+단위장비12!H64+단위장비12!H65+단위장비13!H57+단위장비13!H58+단위장비14!H61+단위장비14!H62+단위장비15!H46+단위장비15!H47</f>
        <v>0</v>
      </c>
      <c r="J21" s="84"/>
    </row>
    <row r="22" spans="2:10" ht="19.5" customHeight="1">
      <c r="B22" s="475"/>
      <c r="C22" s="477"/>
      <c r="D22" s="85"/>
      <c r="E22" s="86" t="s">
        <v>67</v>
      </c>
      <c r="F22" s="465"/>
      <c r="G22" s="466"/>
      <c r="H22" s="467"/>
      <c r="I22" s="87">
        <f>I20+I11+I21</f>
        <v>2586950000</v>
      </c>
      <c r="J22" s="88"/>
    </row>
    <row r="23" spans="2:10" ht="19.5" customHeight="1">
      <c r="B23" s="478">
        <v>2</v>
      </c>
      <c r="C23" s="479" t="s">
        <v>68</v>
      </c>
      <c r="D23" s="482" t="s">
        <v>42</v>
      </c>
      <c r="E23" s="89" t="s">
        <v>69</v>
      </c>
      <c r="F23" s="90" t="s">
        <v>47</v>
      </c>
      <c r="G23" s="91">
        <v>1</v>
      </c>
      <c r="H23" s="91"/>
      <c r="I23" s="91">
        <f>전기!H51-I24</f>
        <v>746100000</v>
      </c>
      <c r="J23" s="92"/>
    </row>
    <row r="24" spans="2:10" ht="19.5" customHeight="1">
      <c r="B24" s="474"/>
      <c r="C24" s="480"/>
      <c r="D24" s="483"/>
      <c r="E24" s="73" t="s">
        <v>51</v>
      </c>
      <c r="F24" s="93" t="s">
        <v>47</v>
      </c>
      <c r="G24" s="94">
        <v>1</v>
      </c>
      <c r="H24" s="94"/>
      <c r="I24" s="94">
        <f>전기!H18</f>
        <v>0</v>
      </c>
      <c r="J24" s="77" t="s">
        <v>52</v>
      </c>
    </row>
    <row r="25" spans="2:10" ht="19.5" customHeight="1">
      <c r="B25" s="474"/>
      <c r="C25" s="481"/>
      <c r="D25" s="462" t="s">
        <v>54</v>
      </c>
      <c r="E25" s="80" t="s">
        <v>70</v>
      </c>
      <c r="F25" s="74" t="s">
        <v>56</v>
      </c>
      <c r="G25" s="76">
        <f>전기!F52</f>
        <v>0</v>
      </c>
      <c r="H25" s="76" t="str">
        <f>IF(전기!G52&gt;0,전기!G52,"")</f>
        <v/>
      </c>
      <c r="I25" s="76">
        <f>전기!H52</f>
        <v>0</v>
      </c>
      <c r="J25" s="71"/>
    </row>
    <row r="26" spans="2:10" ht="19.5" customHeight="1">
      <c r="B26" s="474"/>
      <c r="C26" s="481"/>
      <c r="D26" s="463"/>
      <c r="E26" s="67" t="s">
        <v>71</v>
      </c>
      <c r="F26" s="68" t="s">
        <v>56</v>
      </c>
      <c r="G26" s="70">
        <f>전기!F53</f>
        <v>0</v>
      </c>
      <c r="H26" s="70" t="str">
        <f>IF(전기!G53&gt;0,전기!G53,"")</f>
        <v/>
      </c>
      <c r="I26" s="70">
        <f>전기!H53</f>
        <v>0</v>
      </c>
      <c r="J26" s="71"/>
    </row>
    <row r="27" spans="2:10" ht="19.5" customHeight="1">
      <c r="B27" s="474"/>
      <c r="C27" s="481"/>
      <c r="D27" s="463"/>
      <c r="E27" s="67" t="s">
        <v>72</v>
      </c>
      <c r="F27" s="68" t="s">
        <v>56</v>
      </c>
      <c r="G27" s="70">
        <f>전기!F54</f>
        <v>0</v>
      </c>
      <c r="H27" s="70" t="str">
        <f>IF(전기!G54&gt;0,전기!G54,"")</f>
        <v/>
      </c>
      <c r="I27" s="70">
        <f>전기!H54</f>
        <v>0</v>
      </c>
      <c r="J27" s="71"/>
    </row>
    <row r="28" spans="2:10" ht="19.5" customHeight="1">
      <c r="B28" s="474"/>
      <c r="C28" s="481"/>
      <c r="D28" s="463"/>
      <c r="E28" s="67" t="s">
        <v>60</v>
      </c>
      <c r="F28" s="68" t="s">
        <v>56</v>
      </c>
      <c r="G28" s="70">
        <f>전기!F55</f>
        <v>0</v>
      </c>
      <c r="H28" s="70" t="str">
        <f>IF(전기!G55&gt;0,전기!G55,"")</f>
        <v/>
      </c>
      <c r="I28" s="70">
        <f>전기!H55</f>
        <v>0</v>
      </c>
      <c r="J28" s="71"/>
    </row>
    <row r="29" spans="2:10" ht="19.5" customHeight="1">
      <c r="B29" s="474"/>
      <c r="C29" s="481"/>
      <c r="D29" s="463"/>
      <c r="E29" s="80" t="s">
        <v>62</v>
      </c>
      <c r="F29" s="74" t="s">
        <v>56</v>
      </c>
      <c r="G29" s="76">
        <f>전기!F56</f>
        <v>0</v>
      </c>
      <c r="H29" s="76" t="str">
        <f>IF(전기!G56&gt;0,전기!G56,"")</f>
        <v/>
      </c>
      <c r="I29" s="76">
        <f>전기!H56</f>
        <v>0</v>
      </c>
      <c r="J29" s="71"/>
    </row>
    <row r="30" spans="2:10" ht="19.5" customHeight="1">
      <c r="B30" s="474"/>
      <c r="C30" s="481"/>
      <c r="D30" s="463"/>
      <c r="E30" s="80" t="s">
        <v>63</v>
      </c>
      <c r="F30" s="74" t="s">
        <v>56</v>
      </c>
      <c r="G30" s="76">
        <f>전기!F57</f>
        <v>0</v>
      </c>
      <c r="H30" s="76" t="str">
        <f>IF(전기!G57&gt;0,전기!G57,"")</f>
        <v/>
      </c>
      <c r="I30" s="76">
        <f>전기!H57</f>
        <v>0</v>
      </c>
      <c r="J30" s="71"/>
    </row>
    <row r="31" spans="2:10" ht="19.5" customHeight="1">
      <c r="B31" s="474"/>
      <c r="C31" s="481"/>
      <c r="D31" s="463"/>
      <c r="E31" s="67" t="s">
        <v>64</v>
      </c>
      <c r="F31" s="68" t="s">
        <v>56</v>
      </c>
      <c r="G31" s="70">
        <f>전기!F58</f>
        <v>0</v>
      </c>
      <c r="H31" s="70" t="str">
        <f>IF(전기!G58&gt;0,전기!G58,"")</f>
        <v/>
      </c>
      <c r="I31" s="70">
        <f>전기!H58</f>
        <v>0</v>
      </c>
      <c r="J31" s="71"/>
    </row>
    <row r="32" spans="2:10" ht="19.5" customHeight="1">
      <c r="B32" s="474"/>
      <c r="C32" s="481"/>
      <c r="D32" s="464"/>
      <c r="E32" s="78" t="s">
        <v>73</v>
      </c>
      <c r="F32" s="459"/>
      <c r="G32" s="460"/>
      <c r="H32" s="461"/>
      <c r="I32" s="79">
        <f>SUM(I25:I31)</f>
        <v>0</v>
      </c>
      <c r="J32" s="71"/>
    </row>
    <row r="33" spans="2:13" ht="19.5" customHeight="1">
      <c r="B33" s="474"/>
      <c r="C33" s="463"/>
      <c r="D33" s="81" t="s">
        <v>66</v>
      </c>
      <c r="E33" s="82"/>
      <c r="F33" s="459"/>
      <c r="G33" s="460"/>
      <c r="H33" s="461"/>
      <c r="I33" s="83">
        <v>8950000</v>
      </c>
      <c r="J33" s="84"/>
    </row>
    <row r="34" spans="2:13" ht="19.5" customHeight="1">
      <c r="B34" s="475"/>
      <c r="C34" s="477"/>
      <c r="D34" s="85"/>
      <c r="E34" s="86" t="s">
        <v>74</v>
      </c>
      <c r="F34" s="465"/>
      <c r="G34" s="466"/>
      <c r="H34" s="467"/>
      <c r="I34" s="87">
        <f>I32+I23+I33+I24</f>
        <v>755050000</v>
      </c>
      <c r="J34" s="88"/>
    </row>
    <row r="35" spans="2:13" ht="19.5" customHeight="1">
      <c r="B35" s="484">
        <v>3</v>
      </c>
      <c r="C35" s="487" t="s">
        <v>75</v>
      </c>
      <c r="D35" s="488"/>
      <c r="E35" s="489"/>
      <c r="F35" s="487"/>
      <c r="G35" s="488"/>
      <c r="H35" s="489"/>
      <c r="I35" s="95">
        <f>I23+I11+I24</f>
        <v>3108050000</v>
      </c>
      <c r="J35" s="92"/>
    </row>
    <row r="36" spans="2:13" ht="19.5" customHeight="1">
      <c r="B36" s="485"/>
      <c r="C36" s="459" t="s">
        <v>76</v>
      </c>
      <c r="D36" s="460"/>
      <c r="E36" s="461"/>
      <c r="F36" s="459"/>
      <c r="G36" s="460"/>
      <c r="H36" s="461"/>
      <c r="I36" s="79">
        <f>I32+I20</f>
        <v>225000000</v>
      </c>
      <c r="J36" s="71"/>
    </row>
    <row r="37" spans="2:13" ht="19.5" customHeight="1" thickBot="1">
      <c r="B37" s="486"/>
      <c r="C37" s="490" t="s">
        <v>77</v>
      </c>
      <c r="D37" s="490"/>
      <c r="E37" s="491"/>
      <c r="F37" s="492"/>
      <c r="G37" s="490"/>
      <c r="H37" s="491"/>
      <c r="I37" s="96">
        <f>I36+I35</f>
        <v>3333050000</v>
      </c>
      <c r="J37" s="97"/>
    </row>
    <row r="38" spans="2:13" ht="20.25" customHeight="1">
      <c r="B38" s="98">
        <v>4</v>
      </c>
      <c r="C38" s="464" t="s">
        <v>295</v>
      </c>
      <c r="D38" s="493"/>
      <c r="E38" s="494"/>
      <c r="F38" s="495"/>
      <c r="G38" s="496"/>
      <c r="H38" s="497"/>
      <c r="I38" s="99">
        <v>60000000</v>
      </c>
      <c r="J38" s="363"/>
    </row>
    <row r="39" spans="2:13" ht="22.5" customHeight="1">
      <c r="B39" s="100">
        <v>5</v>
      </c>
      <c r="C39" s="459" t="s">
        <v>78</v>
      </c>
      <c r="D39" s="460"/>
      <c r="E39" s="461"/>
      <c r="F39" s="498" t="s">
        <v>79</v>
      </c>
      <c r="G39" s="499"/>
      <c r="H39" s="500"/>
      <c r="I39" s="101"/>
      <c r="J39" s="102" t="s">
        <v>296</v>
      </c>
      <c r="K39" s="103"/>
      <c r="M39" s="103"/>
    </row>
    <row r="40" spans="2:13" ht="22.5" customHeight="1">
      <c r="B40" s="100">
        <v>6</v>
      </c>
      <c r="C40" s="459" t="s">
        <v>342</v>
      </c>
      <c r="D40" s="460"/>
      <c r="E40" s="461"/>
      <c r="F40" s="360"/>
      <c r="G40" s="361"/>
      <c r="H40" s="362"/>
      <c r="I40" s="101">
        <f>SUM(단위장비16!H49)</f>
        <v>398000000</v>
      </c>
      <c r="J40" s="375"/>
      <c r="K40" s="103"/>
      <c r="M40" s="103"/>
    </row>
    <row r="41" spans="2:13" ht="20.25" customHeight="1">
      <c r="B41" s="100">
        <v>7</v>
      </c>
      <c r="C41" s="459" t="s">
        <v>80</v>
      </c>
      <c r="D41" s="460"/>
      <c r="E41" s="461"/>
      <c r="F41" s="501"/>
      <c r="G41" s="502"/>
      <c r="H41" s="503"/>
      <c r="I41" s="79">
        <f>전기!H61+단위장비1!H71+단위장비2!H61+단위장비3!H62+단위장비5!H66+단위장비4!H73+단위장비6!H61+단위장비7!H52+단위장비8!H63+단위장비9!H63+단위장비10!H66+단위장비11!H65+단위장비12!H64+단위장비13!H57+단위장비14!H61+단위장비15!H46</f>
        <v>0</v>
      </c>
      <c r="J41" s="71"/>
    </row>
    <row r="42" spans="2:13" ht="20.25" customHeight="1">
      <c r="B42" s="104">
        <v>8</v>
      </c>
      <c r="C42" s="465" t="s">
        <v>81</v>
      </c>
      <c r="D42" s="466"/>
      <c r="E42" s="467"/>
      <c r="F42" s="504"/>
      <c r="G42" s="505"/>
      <c r="H42" s="506"/>
      <c r="I42" s="83">
        <f>전기!H62+단위장비1!H72+단위장비2!H62+단위장비3!H63+단위장비5!H67+단위장비4!H74+단위장비6!H62+단위장비7!H53+단위장비8!H64+단위장비9!H64+단위장비10!H67+단위장비11!H66+단위장비12!H65+단위장비13!H58+단위장비14!H62+단위장비15!H47</f>
        <v>0</v>
      </c>
      <c r="J42" s="84"/>
      <c r="K42" s="47"/>
    </row>
    <row r="43" spans="2:13" ht="28.5" customHeight="1" thickBot="1">
      <c r="B43" s="105"/>
      <c r="C43" s="507" t="s">
        <v>82</v>
      </c>
      <c r="D43" s="507"/>
      <c r="E43" s="507"/>
      <c r="F43" s="508" t="s">
        <v>344</v>
      </c>
      <c r="G43" s="509"/>
      <c r="H43" s="510"/>
      <c r="I43" s="106">
        <f>I22+I34+I38+I39+I40+I41+I42</f>
        <v>3800000000</v>
      </c>
      <c r="J43" s="107"/>
      <c r="K43" s="47"/>
    </row>
    <row r="44" spans="2:13" ht="19.5" customHeight="1">
      <c r="B44" s="108" t="s">
        <v>83</v>
      </c>
      <c r="C44" s="49"/>
      <c r="D44" s="49"/>
      <c r="E44" s="49"/>
    </row>
    <row r="45" spans="2:13" ht="19.5" customHeight="1">
      <c r="B45" s="108" t="s">
        <v>84</v>
      </c>
      <c r="C45" s="49"/>
      <c r="D45" s="49"/>
      <c r="E45" s="49"/>
    </row>
    <row r="46" spans="2:13" ht="19.5" customHeight="1">
      <c r="B46" s="47" t="s">
        <v>85</v>
      </c>
      <c r="C46" s="49"/>
      <c r="D46" s="49"/>
      <c r="E46" s="49"/>
    </row>
    <row r="47" spans="2:13" ht="19.5" customHeight="1">
      <c r="C47" s="49"/>
      <c r="D47" s="49"/>
      <c r="E47" s="49"/>
    </row>
    <row r="48" spans="2:13" ht="19.5" customHeight="1">
      <c r="C48" s="49"/>
      <c r="D48" s="49"/>
      <c r="E48" s="511" t="s">
        <v>86</v>
      </c>
      <c r="F48" s="514" t="s">
        <v>87</v>
      </c>
      <c r="G48" s="515"/>
      <c r="H48" s="516"/>
      <c r="I48" s="109" t="s">
        <v>88</v>
      </c>
      <c r="J48" s="110" t="s">
        <v>89</v>
      </c>
      <c r="K48" s="111" t="s">
        <v>90</v>
      </c>
    </row>
    <row r="49" spans="3:11" ht="19.5" customHeight="1">
      <c r="C49" s="49"/>
      <c r="D49" s="49"/>
      <c r="E49" s="512"/>
      <c r="F49" s="517" t="s">
        <v>91</v>
      </c>
      <c r="G49" s="518"/>
      <c r="H49" s="518"/>
      <c r="I49" s="79">
        <f>IF(J49&lt;500000000,J49*0.0315,1)+IF(J49&gt;500000000,J49*0.0253+3300000)*IF(J49&gt;5000000000,0,1)+IF(J49&gt;5000000000,J49*0.026,0)</f>
        <v>89144166</v>
      </c>
      <c r="J49" s="112">
        <f>SUM(I7:I10,I12:I19,I23:I31,I38)</f>
        <v>3393050000</v>
      </c>
      <c r="K49" s="112" t="s">
        <v>92</v>
      </c>
    </row>
    <row r="50" spans="3:11" ht="19.5" customHeight="1">
      <c r="E50" s="513"/>
      <c r="F50" s="517" t="s">
        <v>93</v>
      </c>
      <c r="G50" s="518"/>
      <c r="H50" s="518"/>
      <c r="I50" s="79">
        <f>(IF(J50&lt;500000000,J50*0.0315,1)+IF(J50&gt;500000000,J50*0.0253+3300000)*IF(J50&gt;5000000000,0,1)+IF(J50&gt;5000000000,J50*0.026,0))*1.2</f>
        <v>0</v>
      </c>
      <c r="J50" s="113">
        <f>SUM(I10,I24,I12,I16:I17,I25,I29:I30)</f>
        <v>0</v>
      </c>
      <c r="K50" s="112" t="s">
        <v>94</v>
      </c>
    </row>
    <row r="51" spans="3:11" ht="19.5" customHeight="1">
      <c r="G51" s="114" t="s">
        <v>95</v>
      </c>
    </row>
  </sheetData>
  <mergeCells count="39">
    <mergeCell ref="C42:E42"/>
    <mergeCell ref="F42:H42"/>
    <mergeCell ref="C43:E43"/>
    <mergeCell ref="F43:H43"/>
    <mergeCell ref="E48:E50"/>
    <mergeCell ref="F48:H48"/>
    <mergeCell ref="F49:H49"/>
    <mergeCell ref="F50:H50"/>
    <mergeCell ref="C38:E38"/>
    <mergeCell ref="F38:H38"/>
    <mergeCell ref="C39:E39"/>
    <mergeCell ref="F39:H39"/>
    <mergeCell ref="C41:E41"/>
    <mergeCell ref="F41:H41"/>
    <mergeCell ref="C40:E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2:P28"/>
  <sheetViews>
    <sheetView zoomScale="110" zoomScaleNormal="110" workbookViewId="0">
      <selection activeCell="G26" sqref="G26"/>
    </sheetView>
  </sheetViews>
  <sheetFormatPr defaultColWidth="9" defaultRowHeight="17.25" customHeight="1"/>
  <cols>
    <col min="1" max="1" width="5" style="115" customWidth="1"/>
    <col min="2" max="2" width="20.09765625" style="115" customWidth="1"/>
    <col min="3" max="3" width="6.19921875" style="115" customWidth="1"/>
    <col min="4" max="4" width="14.19921875" style="115" customWidth="1"/>
    <col min="5" max="5" width="11.8984375" style="115" customWidth="1"/>
    <col min="6" max="6" width="15.69921875" style="115" customWidth="1"/>
    <col min="7" max="7" width="15.5" style="115" customWidth="1"/>
    <col min="8" max="8" width="16.19921875" style="115" customWidth="1"/>
    <col min="9" max="9" width="13" style="115" customWidth="1"/>
    <col min="10" max="10" width="18.09765625" style="115" customWidth="1"/>
    <col min="11" max="11" width="17.3984375" style="115" customWidth="1"/>
    <col min="12" max="12" width="12.5" style="115" bestFit="1" customWidth="1"/>
    <col min="13" max="13" width="15.69921875" style="115" bestFit="1" customWidth="1"/>
    <col min="14" max="14" width="16.69921875" style="115" customWidth="1"/>
    <col min="15" max="15" width="9.69921875" style="115" customWidth="1"/>
    <col min="16" max="16" width="23.69921875" style="115" customWidth="1"/>
    <col min="17" max="17" width="9.69921875" style="115" customWidth="1"/>
    <col min="18" max="18" width="13.59765625" style="115" customWidth="1"/>
    <col min="19" max="19" width="13.59765625" style="115" bestFit="1" customWidth="1"/>
    <col min="20" max="256" width="9" style="115"/>
    <col min="257" max="257" width="5" style="115" customWidth="1"/>
    <col min="258" max="258" width="20.09765625" style="115" customWidth="1"/>
    <col min="259" max="259" width="6.19921875" style="115" customWidth="1"/>
    <col min="260" max="264" width="11.8984375" style="115" customWidth="1"/>
    <col min="265" max="265" width="13" style="115" customWidth="1"/>
    <col min="266" max="267" width="13.8984375" style="115" customWidth="1"/>
    <col min="268" max="268" width="12.5" style="115" bestFit="1" customWidth="1"/>
    <col min="269" max="269" width="15" style="115" bestFit="1" customWidth="1"/>
    <col min="270" max="270" width="13.8984375" style="115" customWidth="1"/>
    <col min="271" max="271" width="9.59765625" style="115" customWidth="1"/>
    <col min="272" max="272" width="0" style="115" hidden="1" customWidth="1"/>
    <col min="273" max="273" width="10" style="115" customWidth="1"/>
    <col min="274" max="512" width="9" style="115"/>
    <col min="513" max="513" width="5" style="115" customWidth="1"/>
    <col min="514" max="514" width="20.09765625" style="115" customWidth="1"/>
    <col min="515" max="515" width="6.19921875" style="115" customWidth="1"/>
    <col min="516" max="520" width="11.8984375" style="115" customWidth="1"/>
    <col min="521" max="521" width="13" style="115" customWidth="1"/>
    <col min="522" max="523" width="13.8984375" style="115" customWidth="1"/>
    <col min="524" max="524" width="12.5" style="115" bestFit="1" customWidth="1"/>
    <col min="525" max="525" width="15" style="115" bestFit="1" customWidth="1"/>
    <col min="526" max="526" width="13.8984375" style="115" customWidth="1"/>
    <col min="527" max="527" width="9.59765625" style="115" customWidth="1"/>
    <col min="528" max="528" width="0" style="115" hidden="1" customWidth="1"/>
    <col min="529" max="529" width="10" style="115" customWidth="1"/>
    <col min="530" max="768" width="9" style="115"/>
    <col min="769" max="769" width="5" style="115" customWidth="1"/>
    <col min="770" max="770" width="20.09765625" style="115" customWidth="1"/>
    <col min="771" max="771" width="6.19921875" style="115" customWidth="1"/>
    <col min="772" max="776" width="11.8984375" style="115" customWidth="1"/>
    <col min="777" max="777" width="13" style="115" customWidth="1"/>
    <col min="778" max="779" width="13.8984375" style="115" customWidth="1"/>
    <col min="780" max="780" width="12.5" style="115" bestFit="1" customWidth="1"/>
    <col min="781" max="781" width="15" style="115" bestFit="1" customWidth="1"/>
    <col min="782" max="782" width="13.8984375" style="115" customWidth="1"/>
    <col min="783" max="783" width="9.59765625" style="115" customWidth="1"/>
    <col min="784" max="784" width="0" style="115" hidden="1" customWidth="1"/>
    <col min="785" max="785" width="10" style="115" customWidth="1"/>
    <col min="786" max="1024" width="9" style="115"/>
    <col min="1025" max="1025" width="5" style="115" customWidth="1"/>
    <col min="1026" max="1026" width="20.09765625" style="115" customWidth="1"/>
    <col min="1027" max="1027" width="6.19921875" style="115" customWidth="1"/>
    <col min="1028" max="1032" width="11.8984375" style="115" customWidth="1"/>
    <col min="1033" max="1033" width="13" style="115" customWidth="1"/>
    <col min="1034" max="1035" width="13.8984375" style="115" customWidth="1"/>
    <col min="1036" max="1036" width="12.5" style="115" bestFit="1" customWidth="1"/>
    <col min="1037" max="1037" width="15" style="115" bestFit="1" customWidth="1"/>
    <col min="1038" max="1038" width="13.8984375" style="115" customWidth="1"/>
    <col min="1039" max="1039" width="9.59765625" style="115" customWidth="1"/>
    <col min="1040" max="1040" width="0" style="115" hidden="1" customWidth="1"/>
    <col min="1041" max="1041" width="10" style="115" customWidth="1"/>
    <col min="1042" max="1280" width="9" style="115"/>
    <col min="1281" max="1281" width="5" style="115" customWidth="1"/>
    <col min="1282" max="1282" width="20.09765625" style="115" customWidth="1"/>
    <col min="1283" max="1283" width="6.19921875" style="115" customWidth="1"/>
    <col min="1284" max="1288" width="11.8984375" style="115" customWidth="1"/>
    <col min="1289" max="1289" width="13" style="115" customWidth="1"/>
    <col min="1290" max="1291" width="13.8984375" style="115" customWidth="1"/>
    <col min="1292" max="1292" width="12.5" style="115" bestFit="1" customWidth="1"/>
    <col min="1293" max="1293" width="15" style="115" bestFit="1" customWidth="1"/>
    <col min="1294" max="1294" width="13.8984375" style="115" customWidth="1"/>
    <col min="1295" max="1295" width="9.59765625" style="115" customWidth="1"/>
    <col min="1296" max="1296" width="0" style="115" hidden="1" customWidth="1"/>
    <col min="1297" max="1297" width="10" style="115" customWidth="1"/>
    <col min="1298" max="1536" width="9" style="115"/>
    <col min="1537" max="1537" width="5" style="115" customWidth="1"/>
    <col min="1538" max="1538" width="20.09765625" style="115" customWidth="1"/>
    <col min="1539" max="1539" width="6.19921875" style="115" customWidth="1"/>
    <col min="1540" max="1544" width="11.8984375" style="115" customWidth="1"/>
    <col min="1545" max="1545" width="13" style="115" customWidth="1"/>
    <col min="1546" max="1547" width="13.8984375" style="115" customWidth="1"/>
    <col min="1548" max="1548" width="12.5" style="115" bestFit="1" customWidth="1"/>
    <col min="1549" max="1549" width="15" style="115" bestFit="1" customWidth="1"/>
    <col min="1550" max="1550" width="13.8984375" style="115" customWidth="1"/>
    <col min="1551" max="1551" width="9.59765625" style="115" customWidth="1"/>
    <col min="1552" max="1552" width="0" style="115" hidden="1" customWidth="1"/>
    <col min="1553" max="1553" width="10" style="115" customWidth="1"/>
    <col min="1554" max="1792" width="9" style="115"/>
    <col min="1793" max="1793" width="5" style="115" customWidth="1"/>
    <col min="1794" max="1794" width="20.09765625" style="115" customWidth="1"/>
    <col min="1795" max="1795" width="6.19921875" style="115" customWidth="1"/>
    <col min="1796" max="1800" width="11.8984375" style="115" customWidth="1"/>
    <col min="1801" max="1801" width="13" style="115" customWidth="1"/>
    <col min="1802" max="1803" width="13.8984375" style="115" customWidth="1"/>
    <col min="1804" max="1804" width="12.5" style="115" bestFit="1" customWidth="1"/>
    <col min="1805" max="1805" width="15" style="115" bestFit="1" customWidth="1"/>
    <col min="1806" max="1806" width="13.8984375" style="115" customWidth="1"/>
    <col min="1807" max="1807" width="9.59765625" style="115" customWidth="1"/>
    <col min="1808" max="1808" width="0" style="115" hidden="1" customWidth="1"/>
    <col min="1809" max="1809" width="10" style="115" customWidth="1"/>
    <col min="1810" max="2048" width="9" style="115"/>
    <col min="2049" max="2049" width="5" style="115" customWidth="1"/>
    <col min="2050" max="2050" width="20.09765625" style="115" customWidth="1"/>
    <col min="2051" max="2051" width="6.19921875" style="115" customWidth="1"/>
    <col min="2052" max="2056" width="11.8984375" style="115" customWidth="1"/>
    <col min="2057" max="2057" width="13" style="115" customWidth="1"/>
    <col min="2058" max="2059" width="13.8984375" style="115" customWidth="1"/>
    <col min="2060" max="2060" width="12.5" style="115" bestFit="1" customWidth="1"/>
    <col min="2061" max="2061" width="15" style="115" bestFit="1" customWidth="1"/>
    <col min="2062" max="2062" width="13.8984375" style="115" customWidth="1"/>
    <col min="2063" max="2063" width="9.59765625" style="115" customWidth="1"/>
    <col min="2064" max="2064" width="0" style="115" hidden="1" customWidth="1"/>
    <col min="2065" max="2065" width="10" style="115" customWidth="1"/>
    <col min="2066" max="2304" width="9" style="115"/>
    <col min="2305" max="2305" width="5" style="115" customWidth="1"/>
    <col min="2306" max="2306" width="20.09765625" style="115" customWidth="1"/>
    <col min="2307" max="2307" width="6.19921875" style="115" customWidth="1"/>
    <col min="2308" max="2312" width="11.8984375" style="115" customWidth="1"/>
    <col min="2313" max="2313" width="13" style="115" customWidth="1"/>
    <col min="2314" max="2315" width="13.8984375" style="115" customWidth="1"/>
    <col min="2316" max="2316" width="12.5" style="115" bestFit="1" customWidth="1"/>
    <col min="2317" max="2317" width="15" style="115" bestFit="1" customWidth="1"/>
    <col min="2318" max="2318" width="13.8984375" style="115" customWidth="1"/>
    <col min="2319" max="2319" width="9.59765625" style="115" customWidth="1"/>
    <col min="2320" max="2320" width="0" style="115" hidden="1" customWidth="1"/>
    <col min="2321" max="2321" width="10" style="115" customWidth="1"/>
    <col min="2322" max="2560" width="9" style="115"/>
    <col min="2561" max="2561" width="5" style="115" customWidth="1"/>
    <col min="2562" max="2562" width="20.09765625" style="115" customWidth="1"/>
    <col min="2563" max="2563" width="6.19921875" style="115" customWidth="1"/>
    <col min="2564" max="2568" width="11.8984375" style="115" customWidth="1"/>
    <col min="2569" max="2569" width="13" style="115" customWidth="1"/>
    <col min="2570" max="2571" width="13.8984375" style="115" customWidth="1"/>
    <col min="2572" max="2572" width="12.5" style="115" bestFit="1" customWidth="1"/>
    <col min="2573" max="2573" width="15" style="115" bestFit="1" customWidth="1"/>
    <col min="2574" max="2574" width="13.8984375" style="115" customWidth="1"/>
    <col min="2575" max="2575" width="9.59765625" style="115" customWidth="1"/>
    <col min="2576" max="2576" width="0" style="115" hidden="1" customWidth="1"/>
    <col min="2577" max="2577" width="10" style="115" customWidth="1"/>
    <col min="2578" max="2816" width="9" style="115"/>
    <col min="2817" max="2817" width="5" style="115" customWidth="1"/>
    <col min="2818" max="2818" width="20.09765625" style="115" customWidth="1"/>
    <col min="2819" max="2819" width="6.19921875" style="115" customWidth="1"/>
    <col min="2820" max="2824" width="11.8984375" style="115" customWidth="1"/>
    <col min="2825" max="2825" width="13" style="115" customWidth="1"/>
    <col min="2826" max="2827" width="13.8984375" style="115" customWidth="1"/>
    <col min="2828" max="2828" width="12.5" style="115" bestFit="1" customWidth="1"/>
    <col min="2829" max="2829" width="15" style="115" bestFit="1" customWidth="1"/>
    <col min="2830" max="2830" width="13.8984375" style="115" customWidth="1"/>
    <col min="2831" max="2831" width="9.59765625" style="115" customWidth="1"/>
    <col min="2832" max="2832" width="0" style="115" hidden="1" customWidth="1"/>
    <col min="2833" max="2833" width="10" style="115" customWidth="1"/>
    <col min="2834" max="3072" width="9" style="115"/>
    <col min="3073" max="3073" width="5" style="115" customWidth="1"/>
    <col min="3074" max="3074" width="20.09765625" style="115" customWidth="1"/>
    <col min="3075" max="3075" width="6.19921875" style="115" customWidth="1"/>
    <col min="3076" max="3080" width="11.8984375" style="115" customWidth="1"/>
    <col min="3081" max="3081" width="13" style="115" customWidth="1"/>
    <col min="3082" max="3083" width="13.8984375" style="115" customWidth="1"/>
    <col min="3084" max="3084" width="12.5" style="115" bestFit="1" customWidth="1"/>
    <col min="3085" max="3085" width="15" style="115" bestFit="1" customWidth="1"/>
    <col min="3086" max="3086" width="13.8984375" style="115" customWidth="1"/>
    <col min="3087" max="3087" width="9.59765625" style="115" customWidth="1"/>
    <col min="3088" max="3088" width="0" style="115" hidden="1" customWidth="1"/>
    <col min="3089" max="3089" width="10" style="115" customWidth="1"/>
    <col min="3090" max="3328" width="9" style="115"/>
    <col min="3329" max="3329" width="5" style="115" customWidth="1"/>
    <col min="3330" max="3330" width="20.09765625" style="115" customWidth="1"/>
    <col min="3331" max="3331" width="6.19921875" style="115" customWidth="1"/>
    <col min="3332" max="3336" width="11.8984375" style="115" customWidth="1"/>
    <col min="3337" max="3337" width="13" style="115" customWidth="1"/>
    <col min="3338" max="3339" width="13.8984375" style="115" customWidth="1"/>
    <col min="3340" max="3340" width="12.5" style="115" bestFit="1" customWidth="1"/>
    <col min="3341" max="3341" width="15" style="115" bestFit="1" customWidth="1"/>
    <col min="3342" max="3342" width="13.8984375" style="115" customWidth="1"/>
    <col min="3343" max="3343" width="9.59765625" style="115" customWidth="1"/>
    <col min="3344" max="3344" width="0" style="115" hidden="1" customWidth="1"/>
    <col min="3345" max="3345" width="10" style="115" customWidth="1"/>
    <col min="3346" max="3584" width="9" style="115"/>
    <col min="3585" max="3585" width="5" style="115" customWidth="1"/>
    <col min="3586" max="3586" width="20.09765625" style="115" customWidth="1"/>
    <col min="3587" max="3587" width="6.19921875" style="115" customWidth="1"/>
    <col min="3588" max="3592" width="11.8984375" style="115" customWidth="1"/>
    <col min="3593" max="3593" width="13" style="115" customWidth="1"/>
    <col min="3594" max="3595" width="13.8984375" style="115" customWidth="1"/>
    <col min="3596" max="3596" width="12.5" style="115" bestFit="1" customWidth="1"/>
    <col min="3597" max="3597" width="15" style="115" bestFit="1" customWidth="1"/>
    <col min="3598" max="3598" width="13.8984375" style="115" customWidth="1"/>
    <col min="3599" max="3599" width="9.59765625" style="115" customWidth="1"/>
    <col min="3600" max="3600" width="0" style="115" hidden="1" customWidth="1"/>
    <col min="3601" max="3601" width="10" style="115" customWidth="1"/>
    <col min="3602" max="3840" width="9" style="115"/>
    <col min="3841" max="3841" width="5" style="115" customWidth="1"/>
    <col min="3842" max="3842" width="20.09765625" style="115" customWidth="1"/>
    <col min="3843" max="3843" width="6.19921875" style="115" customWidth="1"/>
    <col min="3844" max="3848" width="11.8984375" style="115" customWidth="1"/>
    <col min="3849" max="3849" width="13" style="115" customWidth="1"/>
    <col min="3850" max="3851" width="13.8984375" style="115" customWidth="1"/>
    <col min="3852" max="3852" width="12.5" style="115" bestFit="1" customWidth="1"/>
    <col min="3853" max="3853" width="15" style="115" bestFit="1" customWidth="1"/>
    <col min="3854" max="3854" width="13.8984375" style="115" customWidth="1"/>
    <col min="3855" max="3855" width="9.59765625" style="115" customWidth="1"/>
    <col min="3856" max="3856" width="0" style="115" hidden="1" customWidth="1"/>
    <col min="3857" max="3857" width="10" style="115" customWidth="1"/>
    <col min="3858" max="4096" width="9" style="115"/>
    <col min="4097" max="4097" width="5" style="115" customWidth="1"/>
    <col min="4098" max="4098" width="20.09765625" style="115" customWidth="1"/>
    <col min="4099" max="4099" width="6.19921875" style="115" customWidth="1"/>
    <col min="4100" max="4104" width="11.8984375" style="115" customWidth="1"/>
    <col min="4105" max="4105" width="13" style="115" customWidth="1"/>
    <col min="4106" max="4107" width="13.8984375" style="115" customWidth="1"/>
    <col min="4108" max="4108" width="12.5" style="115" bestFit="1" customWidth="1"/>
    <col min="4109" max="4109" width="15" style="115" bestFit="1" customWidth="1"/>
    <col min="4110" max="4110" width="13.8984375" style="115" customWidth="1"/>
    <col min="4111" max="4111" width="9.59765625" style="115" customWidth="1"/>
    <col min="4112" max="4112" width="0" style="115" hidden="1" customWidth="1"/>
    <col min="4113" max="4113" width="10" style="115" customWidth="1"/>
    <col min="4114" max="4352" width="9" style="115"/>
    <col min="4353" max="4353" width="5" style="115" customWidth="1"/>
    <col min="4354" max="4354" width="20.09765625" style="115" customWidth="1"/>
    <col min="4355" max="4355" width="6.19921875" style="115" customWidth="1"/>
    <col min="4356" max="4360" width="11.8984375" style="115" customWidth="1"/>
    <col min="4361" max="4361" width="13" style="115" customWidth="1"/>
    <col min="4362" max="4363" width="13.8984375" style="115" customWidth="1"/>
    <col min="4364" max="4364" width="12.5" style="115" bestFit="1" customWidth="1"/>
    <col min="4365" max="4365" width="15" style="115" bestFit="1" customWidth="1"/>
    <col min="4366" max="4366" width="13.8984375" style="115" customWidth="1"/>
    <col min="4367" max="4367" width="9.59765625" style="115" customWidth="1"/>
    <col min="4368" max="4368" width="0" style="115" hidden="1" customWidth="1"/>
    <col min="4369" max="4369" width="10" style="115" customWidth="1"/>
    <col min="4370" max="4608" width="9" style="115"/>
    <col min="4609" max="4609" width="5" style="115" customWidth="1"/>
    <col min="4610" max="4610" width="20.09765625" style="115" customWidth="1"/>
    <col min="4611" max="4611" width="6.19921875" style="115" customWidth="1"/>
    <col min="4612" max="4616" width="11.8984375" style="115" customWidth="1"/>
    <col min="4617" max="4617" width="13" style="115" customWidth="1"/>
    <col min="4618" max="4619" width="13.8984375" style="115" customWidth="1"/>
    <col min="4620" max="4620" width="12.5" style="115" bestFit="1" customWidth="1"/>
    <col min="4621" max="4621" width="15" style="115" bestFit="1" customWidth="1"/>
    <col min="4622" max="4622" width="13.8984375" style="115" customWidth="1"/>
    <col min="4623" max="4623" width="9.59765625" style="115" customWidth="1"/>
    <col min="4624" max="4624" width="0" style="115" hidden="1" customWidth="1"/>
    <col min="4625" max="4625" width="10" style="115" customWidth="1"/>
    <col min="4626" max="4864" width="9" style="115"/>
    <col min="4865" max="4865" width="5" style="115" customWidth="1"/>
    <col min="4866" max="4866" width="20.09765625" style="115" customWidth="1"/>
    <col min="4867" max="4867" width="6.19921875" style="115" customWidth="1"/>
    <col min="4868" max="4872" width="11.8984375" style="115" customWidth="1"/>
    <col min="4873" max="4873" width="13" style="115" customWidth="1"/>
    <col min="4874" max="4875" width="13.8984375" style="115" customWidth="1"/>
    <col min="4876" max="4876" width="12.5" style="115" bestFit="1" customWidth="1"/>
    <col min="4877" max="4877" width="15" style="115" bestFit="1" customWidth="1"/>
    <col min="4878" max="4878" width="13.8984375" style="115" customWidth="1"/>
    <col min="4879" max="4879" width="9.59765625" style="115" customWidth="1"/>
    <col min="4880" max="4880" width="0" style="115" hidden="1" customWidth="1"/>
    <col min="4881" max="4881" width="10" style="115" customWidth="1"/>
    <col min="4882" max="5120" width="9" style="115"/>
    <col min="5121" max="5121" width="5" style="115" customWidth="1"/>
    <col min="5122" max="5122" width="20.09765625" style="115" customWidth="1"/>
    <col min="5123" max="5123" width="6.19921875" style="115" customWidth="1"/>
    <col min="5124" max="5128" width="11.8984375" style="115" customWidth="1"/>
    <col min="5129" max="5129" width="13" style="115" customWidth="1"/>
    <col min="5130" max="5131" width="13.8984375" style="115" customWidth="1"/>
    <col min="5132" max="5132" width="12.5" style="115" bestFit="1" customWidth="1"/>
    <col min="5133" max="5133" width="15" style="115" bestFit="1" customWidth="1"/>
    <col min="5134" max="5134" width="13.8984375" style="115" customWidth="1"/>
    <col min="5135" max="5135" width="9.59765625" style="115" customWidth="1"/>
    <col min="5136" max="5136" width="0" style="115" hidden="1" customWidth="1"/>
    <col min="5137" max="5137" width="10" style="115" customWidth="1"/>
    <col min="5138" max="5376" width="9" style="115"/>
    <col min="5377" max="5377" width="5" style="115" customWidth="1"/>
    <col min="5378" max="5378" width="20.09765625" style="115" customWidth="1"/>
    <col min="5379" max="5379" width="6.19921875" style="115" customWidth="1"/>
    <col min="5380" max="5384" width="11.8984375" style="115" customWidth="1"/>
    <col min="5385" max="5385" width="13" style="115" customWidth="1"/>
    <col min="5386" max="5387" width="13.8984375" style="115" customWidth="1"/>
    <col min="5388" max="5388" width="12.5" style="115" bestFit="1" customWidth="1"/>
    <col min="5389" max="5389" width="15" style="115" bestFit="1" customWidth="1"/>
    <col min="5390" max="5390" width="13.8984375" style="115" customWidth="1"/>
    <col min="5391" max="5391" width="9.59765625" style="115" customWidth="1"/>
    <col min="5392" max="5392" width="0" style="115" hidden="1" customWidth="1"/>
    <col min="5393" max="5393" width="10" style="115" customWidth="1"/>
    <col min="5394" max="5632" width="9" style="115"/>
    <col min="5633" max="5633" width="5" style="115" customWidth="1"/>
    <col min="5634" max="5634" width="20.09765625" style="115" customWidth="1"/>
    <col min="5635" max="5635" width="6.19921875" style="115" customWidth="1"/>
    <col min="5636" max="5640" width="11.8984375" style="115" customWidth="1"/>
    <col min="5641" max="5641" width="13" style="115" customWidth="1"/>
    <col min="5642" max="5643" width="13.8984375" style="115" customWidth="1"/>
    <col min="5644" max="5644" width="12.5" style="115" bestFit="1" customWidth="1"/>
    <col min="5645" max="5645" width="15" style="115" bestFit="1" customWidth="1"/>
    <col min="5646" max="5646" width="13.8984375" style="115" customWidth="1"/>
    <col min="5647" max="5647" width="9.59765625" style="115" customWidth="1"/>
    <col min="5648" max="5648" width="0" style="115" hidden="1" customWidth="1"/>
    <col min="5649" max="5649" width="10" style="115" customWidth="1"/>
    <col min="5650" max="5888" width="9" style="115"/>
    <col min="5889" max="5889" width="5" style="115" customWidth="1"/>
    <col min="5890" max="5890" width="20.09765625" style="115" customWidth="1"/>
    <col min="5891" max="5891" width="6.19921875" style="115" customWidth="1"/>
    <col min="5892" max="5896" width="11.8984375" style="115" customWidth="1"/>
    <col min="5897" max="5897" width="13" style="115" customWidth="1"/>
    <col min="5898" max="5899" width="13.8984375" style="115" customWidth="1"/>
    <col min="5900" max="5900" width="12.5" style="115" bestFit="1" customWidth="1"/>
    <col min="5901" max="5901" width="15" style="115" bestFit="1" customWidth="1"/>
    <col min="5902" max="5902" width="13.8984375" style="115" customWidth="1"/>
    <col min="5903" max="5903" width="9.59765625" style="115" customWidth="1"/>
    <col min="5904" max="5904" width="0" style="115" hidden="1" customWidth="1"/>
    <col min="5905" max="5905" width="10" style="115" customWidth="1"/>
    <col min="5906" max="6144" width="9" style="115"/>
    <col min="6145" max="6145" width="5" style="115" customWidth="1"/>
    <col min="6146" max="6146" width="20.09765625" style="115" customWidth="1"/>
    <col min="6147" max="6147" width="6.19921875" style="115" customWidth="1"/>
    <col min="6148" max="6152" width="11.8984375" style="115" customWidth="1"/>
    <col min="6153" max="6153" width="13" style="115" customWidth="1"/>
    <col min="6154" max="6155" width="13.8984375" style="115" customWidth="1"/>
    <col min="6156" max="6156" width="12.5" style="115" bestFit="1" customWidth="1"/>
    <col min="6157" max="6157" width="15" style="115" bestFit="1" customWidth="1"/>
    <col min="6158" max="6158" width="13.8984375" style="115" customWidth="1"/>
    <col min="6159" max="6159" width="9.59765625" style="115" customWidth="1"/>
    <col min="6160" max="6160" width="0" style="115" hidden="1" customWidth="1"/>
    <col min="6161" max="6161" width="10" style="115" customWidth="1"/>
    <col min="6162" max="6400" width="9" style="115"/>
    <col min="6401" max="6401" width="5" style="115" customWidth="1"/>
    <col min="6402" max="6402" width="20.09765625" style="115" customWidth="1"/>
    <col min="6403" max="6403" width="6.19921875" style="115" customWidth="1"/>
    <col min="6404" max="6408" width="11.8984375" style="115" customWidth="1"/>
    <col min="6409" max="6409" width="13" style="115" customWidth="1"/>
    <col min="6410" max="6411" width="13.8984375" style="115" customWidth="1"/>
    <col min="6412" max="6412" width="12.5" style="115" bestFit="1" customWidth="1"/>
    <col min="6413" max="6413" width="15" style="115" bestFit="1" customWidth="1"/>
    <col min="6414" max="6414" width="13.8984375" style="115" customWidth="1"/>
    <col min="6415" max="6415" width="9.59765625" style="115" customWidth="1"/>
    <col min="6416" max="6416" width="0" style="115" hidden="1" customWidth="1"/>
    <col min="6417" max="6417" width="10" style="115" customWidth="1"/>
    <col min="6418" max="6656" width="9" style="115"/>
    <col min="6657" max="6657" width="5" style="115" customWidth="1"/>
    <col min="6658" max="6658" width="20.09765625" style="115" customWidth="1"/>
    <col min="6659" max="6659" width="6.19921875" style="115" customWidth="1"/>
    <col min="6660" max="6664" width="11.8984375" style="115" customWidth="1"/>
    <col min="6665" max="6665" width="13" style="115" customWidth="1"/>
    <col min="6666" max="6667" width="13.8984375" style="115" customWidth="1"/>
    <col min="6668" max="6668" width="12.5" style="115" bestFit="1" customWidth="1"/>
    <col min="6669" max="6669" width="15" style="115" bestFit="1" customWidth="1"/>
    <col min="6670" max="6670" width="13.8984375" style="115" customWidth="1"/>
    <col min="6671" max="6671" width="9.59765625" style="115" customWidth="1"/>
    <col min="6672" max="6672" width="0" style="115" hidden="1" customWidth="1"/>
    <col min="6673" max="6673" width="10" style="115" customWidth="1"/>
    <col min="6674" max="6912" width="9" style="115"/>
    <col min="6913" max="6913" width="5" style="115" customWidth="1"/>
    <col min="6914" max="6914" width="20.09765625" style="115" customWidth="1"/>
    <col min="6915" max="6915" width="6.19921875" style="115" customWidth="1"/>
    <col min="6916" max="6920" width="11.8984375" style="115" customWidth="1"/>
    <col min="6921" max="6921" width="13" style="115" customWidth="1"/>
    <col min="6922" max="6923" width="13.8984375" style="115" customWidth="1"/>
    <col min="6924" max="6924" width="12.5" style="115" bestFit="1" customWidth="1"/>
    <col min="6925" max="6925" width="15" style="115" bestFit="1" customWidth="1"/>
    <col min="6926" max="6926" width="13.8984375" style="115" customWidth="1"/>
    <col min="6927" max="6927" width="9.59765625" style="115" customWidth="1"/>
    <col min="6928" max="6928" width="0" style="115" hidden="1" customWidth="1"/>
    <col min="6929" max="6929" width="10" style="115" customWidth="1"/>
    <col min="6930" max="7168" width="9" style="115"/>
    <col min="7169" max="7169" width="5" style="115" customWidth="1"/>
    <col min="7170" max="7170" width="20.09765625" style="115" customWidth="1"/>
    <col min="7171" max="7171" width="6.19921875" style="115" customWidth="1"/>
    <col min="7172" max="7176" width="11.8984375" style="115" customWidth="1"/>
    <col min="7177" max="7177" width="13" style="115" customWidth="1"/>
    <col min="7178" max="7179" width="13.8984375" style="115" customWidth="1"/>
    <col min="7180" max="7180" width="12.5" style="115" bestFit="1" customWidth="1"/>
    <col min="7181" max="7181" width="15" style="115" bestFit="1" customWidth="1"/>
    <col min="7182" max="7182" width="13.8984375" style="115" customWidth="1"/>
    <col min="7183" max="7183" width="9.59765625" style="115" customWidth="1"/>
    <col min="7184" max="7184" width="0" style="115" hidden="1" customWidth="1"/>
    <col min="7185" max="7185" width="10" style="115" customWidth="1"/>
    <col min="7186" max="7424" width="9" style="115"/>
    <col min="7425" max="7425" width="5" style="115" customWidth="1"/>
    <col min="7426" max="7426" width="20.09765625" style="115" customWidth="1"/>
    <col min="7427" max="7427" width="6.19921875" style="115" customWidth="1"/>
    <col min="7428" max="7432" width="11.8984375" style="115" customWidth="1"/>
    <col min="7433" max="7433" width="13" style="115" customWidth="1"/>
    <col min="7434" max="7435" width="13.8984375" style="115" customWidth="1"/>
    <col min="7436" max="7436" width="12.5" style="115" bestFit="1" customWidth="1"/>
    <col min="7437" max="7437" width="15" style="115" bestFit="1" customWidth="1"/>
    <col min="7438" max="7438" width="13.8984375" style="115" customWidth="1"/>
    <col min="7439" max="7439" width="9.59765625" style="115" customWidth="1"/>
    <col min="7440" max="7440" width="0" style="115" hidden="1" customWidth="1"/>
    <col min="7441" max="7441" width="10" style="115" customWidth="1"/>
    <col min="7442" max="7680" width="9" style="115"/>
    <col min="7681" max="7681" width="5" style="115" customWidth="1"/>
    <col min="7682" max="7682" width="20.09765625" style="115" customWidth="1"/>
    <col min="7683" max="7683" width="6.19921875" style="115" customWidth="1"/>
    <col min="7684" max="7688" width="11.8984375" style="115" customWidth="1"/>
    <col min="7689" max="7689" width="13" style="115" customWidth="1"/>
    <col min="7690" max="7691" width="13.8984375" style="115" customWidth="1"/>
    <col min="7692" max="7692" width="12.5" style="115" bestFit="1" customWidth="1"/>
    <col min="7693" max="7693" width="15" style="115" bestFit="1" customWidth="1"/>
    <col min="7694" max="7694" width="13.8984375" style="115" customWidth="1"/>
    <col min="7695" max="7695" width="9.59765625" style="115" customWidth="1"/>
    <col min="7696" max="7696" width="0" style="115" hidden="1" customWidth="1"/>
    <col min="7697" max="7697" width="10" style="115" customWidth="1"/>
    <col min="7698" max="7936" width="9" style="115"/>
    <col min="7937" max="7937" width="5" style="115" customWidth="1"/>
    <col min="7938" max="7938" width="20.09765625" style="115" customWidth="1"/>
    <col min="7939" max="7939" width="6.19921875" style="115" customWidth="1"/>
    <col min="7940" max="7944" width="11.8984375" style="115" customWidth="1"/>
    <col min="7945" max="7945" width="13" style="115" customWidth="1"/>
    <col min="7946" max="7947" width="13.8984375" style="115" customWidth="1"/>
    <col min="7948" max="7948" width="12.5" style="115" bestFit="1" customWidth="1"/>
    <col min="7949" max="7949" width="15" style="115" bestFit="1" customWidth="1"/>
    <col min="7950" max="7950" width="13.8984375" style="115" customWidth="1"/>
    <col min="7951" max="7951" width="9.59765625" style="115" customWidth="1"/>
    <col min="7952" max="7952" width="0" style="115" hidden="1" customWidth="1"/>
    <col min="7953" max="7953" width="10" style="115" customWidth="1"/>
    <col min="7954" max="8192" width="9" style="115"/>
    <col min="8193" max="8193" width="5" style="115" customWidth="1"/>
    <col min="8194" max="8194" width="20.09765625" style="115" customWidth="1"/>
    <col min="8195" max="8195" width="6.19921875" style="115" customWidth="1"/>
    <col min="8196" max="8200" width="11.8984375" style="115" customWidth="1"/>
    <col min="8201" max="8201" width="13" style="115" customWidth="1"/>
    <col min="8202" max="8203" width="13.8984375" style="115" customWidth="1"/>
    <col min="8204" max="8204" width="12.5" style="115" bestFit="1" customWidth="1"/>
    <col min="8205" max="8205" width="15" style="115" bestFit="1" customWidth="1"/>
    <col min="8206" max="8206" width="13.8984375" style="115" customWidth="1"/>
    <col min="8207" max="8207" width="9.59765625" style="115" customWidth="1"/>
    <col min="8208" max="8208" width="0" style="115" hidden="1" customWidth="1"/>
    <col min="8209" max="8209" width="10" style="115" customWidth="1"/>
    <col min="8210" max="8448" width="9" style="115"/>
    <col min="8449" max="8449" width="5" style="115" customWidth="1"/>
    <col min="8450" max="8450" width="20.09765625" style="115" customWidth="1"/>
    <col min="8451" max="8451" width="6.19921875" style="115" customWidth="1"/>
    <col min="8452" max="8456" width="11.8984375" style="115" customWidth="1"/>
    <col min="8457" max="8457" width="13" style="115" customWidth="1"/>
    <col min="8458" max="8459" width="13.8984375" style="115" customWidth="1"/>
    <col min="8460" max="8460" width="12.5" style="115" bestFit="1" customWidth="1"/>
    <col min="8461" max="8461" width="15" style="115" bestFit="1" customWidth="1"/>
    <col min="8462" max="8462" width="13.8984375" style="115" customWidth="1"/>
    <col min="8463" max="8463" width="9.59765625" style="115" customWidth="1"/>
    <col min="8464" max="8464" width="0" style="115" hidden="1" customWidth="1"/>
    <col min="8465" max="8465" width="10" style="115" customWidth="1"/>
    <col min="8466" max="8704" width="9" style="115"/>
    <col min="8705" max="8705" width="5" style="115" customWidth="1"/>
    <col min="8706" max="8706" width="20.09765625" style="115" customWidth="1"/>
    <col min="8707" max="8707" width="6.19921875" style="115" customWidth="1"/>
    <col min="8708" max="8712" width="11.8984375" style="115" customWidth="1"/>
    <col min="8713" max="8713" width="13" style="115" customWidth="1"/>
    <col min="8714" max="8715" width="13.8984375" style="115" customWidth="1"/>
    <col min="8716" max="8716" width="12.5" style="115" bestFit="1" customWidth="1"/>
    <col min="8717" max="8717" width="15" style="115" bestFit="1" customWidth="1"/>
    <col min="8718" max="8718" width="13.8984375" style="115" customWidth="1"/>
    <col min="8719" max="8719" width="9.59765625" style="115" customWidth="1"/>
    <col min="8720" max="8720" width="0" style="115" hidden="1" customWidth="1"/>
    <col min="8721" max="8721" width="10" style="115" customWidth="1"/>
    <col min="8722" max="8960" width="9" style="115"/>
    <col min="8961" max="8961" width="5" style="115" customWidth="1"/>
    <col min="8962" max="8962" width="20.09765625" style="115" customWidth="1"/>
    <col min="8963" max="8963" width="6.19921875" style="115" customWidth="1"/>
    <col min="8964" max="8968" width="11.8984375" style="115" customWidth="1"/>
    <col min="8969" max="8969" width="13" style="115" customWidth="1"/>
    <col min="8970" max="8971" width="13.8984375" style="115" customWidth="1"/>
    <col min="8972" max="8972" width="12.5" style="115" bestFit="1" customWidth="1"/>
    <col min="8973" max="8973" width="15" style="115" bestFit="1" customWidth="1"/>
    <col min="8974" max="8974" width="13.8984375" style="115" customWidth="1"/>
    <col min="8975" max="8975" width="9.59765625" style="115" customWidth="1"/>
    <col min="8976" max="8976" width="0" style="115" hidden="1" customWidth="1"/>
    <col min="8977" max="8977" width="10" style="115" customWidth="1"/>
    <col min="8978" max="9216" width="9" style="115"/>
    <col min="9217" max="9217" width="5" style="115" customWidth="1"/>
    <col min="9218" max="9218" width="20.09765625" style="115" customWidth="1"/>
    <col min="9219" max="9219" width="6.19921875" style="115" customWidth="1"/>
    <col min="9220" max="9224" width="11.8984375" style="115" customWidth="1"/>
    <col min="9225" max="9225" width="13" style="115" customWidth="1"/>
    <col min="9226" max="9227" width="13.8984375" style="115" customWidth="1"/>
    <col min="9228" max="9228" width="12.5" style="115" bestFit="1" customWidth="1"/>
    <col min="9229" max="9229" width="15" style="115" bestFit="1" customWidth="1"/>
    <col min="9230" max="9230" width="13.8984375" style="115" customWidth="1"/>
    <col min="9231" max="9231" width="9.59765625" style="115" customWidth="1"/>
    <col min="9232" max="9232" width="0" style="115" hidden="1" customWidth="1"/>
    <col min="9233" max="9233" width="10" style="115" customWidth="1"/>
    <col min="9234" max="9472" width="9" style="115"/>
    <col min="9473" max="9473" width="5" style="115" customWidth="1"/>
    <col min="9474" max="9474" width="20.09765625" style="115" customWidth="1"/>
    <col min="9475" max="9475" width="6.19921875" style="115" customWidth="1"/>
    <col min="9476" max="9480" width="11.8984375" style="115" customWidth="1"/>
    <col min="9481" max="9481" width="13" style="115" customWidth="1"/>
    <col min="9482" max="9483" width="13.8984375" style="115" customWidth="1"/>
    <col min="9484" max="9484" width="12.5" style="115" bestFit="1" customWidth="1"/>
    <col min="9485" max="9485" width="15" style="115" bestFit="1" customWidth="1"/>
    <col min="9486" max="9486" width="13.8984375" style="115" customWidth="1"/>
    <col min="9487" max="9487" width="9.59765625" style="115" customWidth="1"/>
    <col min="9488" max="9488" width="0" style="115" hidden="1" customWidth="1"/>
    <col min="9489" max="9489" width="10" style="115" customWidth="1"/>
    <col min="9490" max="9728" width="9" style="115"/>
    <col min="9729" max="9729" width="5" style="115" customWidth="1"/>
    <col min="9730" max="9730" width="20.09765625" style="115" customWidth="1"/>
    <col min="9731" max="9731" width="6.19921875" style="115" customWidth="1"/>
    <col min="9732" max="9736" width="11.8984375" style="115" customWidth="1"/>
    <col min="9737" max="9737" width="13" style="115" customWidth="1"/>
    <col min="9738" max="9739" width="13.8984375" style="115" customWidth="1"/>
    <col min="9740" max="9740" width="12.5" style="115" bestFit="1" customWidth="1"/>
    <col min="9741" max="9741" width="15" style="115" bestFit="1" customWidth="1"/>
    <col min="9742" max="9742" width="13.8984375" style="115" customWidth="1"/>
    <col min="9743" max="9743" width="9.59765625" style="115" customWidth="1"/>
    <col min="9744" max="9744" width="0" style="115" hidden="1" customWidth="1"/>
    <col min="9745" max="9745" width="10" style="115" customWidth="1"/>
    <col min="9746" max="9984" width="9" style="115"/>
    <col min="9985" max="9985" width="5" style="115" customWidth="1"/>
    <col min="9986" max="9986" width="20.09765625" style="115" customWidth="1"/>
    <col min="9987" max="9987" width="6.19921875" style="115" customWidth="1"/>
    <col min="9988" max="9992" width="11.8984375" style="115" customWidth="1"/>
    <col min="9993" max="9993" width="13" style="115" customWidth="1"/>
    <col min="9994" max="9995" width="13.8984375" style="115" customWidth="1"/>
    <col min="9996" max="9996" width="12.5" style="115" bestFit="1" customWidth="1"/>
    <col min="9997" max="9997" width="15" style="115" bestFit="1" customWidth="1"/>
    <col min="9998" max="9998" width="13.8984375" style="115" customWidth="1"/>
    <col min="9999" max="9999" width="9.59765625" style="115" customWidth="1"/>
    <col min="10000" max="10000" width="0" style="115" hidden="1" customWidth="1"/>
    <col min="10001" max="10001" width="10" style="115" customWidth="1"/>
    <col min="10002" max="10240" width="9" style="115"/>
    <col min="10241" max="10241" width="5" style="115" customWidth="1"/>
    <col min="10242" max="10242" width="20.09765625" style="115" customWidth="1"/>
    <col min="10243" max="10243" width="6.19921875" style="115" customWidth="1"/>
    <col min="10244" max="10248" width="11.8984375" style="115" customWidth="1"/>
    <col min="10249" max="10249" width="13" style="115" customWidth="1"/>
    <col min="10250" max="10251" width="13.8984375" style="115" customWidth="1"/>
    <col min="10252" max="10252" width="12.5" style="115" bestFit="1" customWidth="1"/>
    <col min="10253" max="10253" width="15" style="115" bestFit="1" customWidth="1"/>
    <col min="10254" max="10254" width="13.8984375" style="115" customWidth="1"/>
    <col min="10255" max="10255" width="9.59765625" style="115" customWidth="1"/>
    <col min="10256" max="10256" width="0" style="115" hidden="1" customWidth="1"/>
    <col min="10257" max="10257" width="10" style="115" customWidth="1"/>
    <col min="10258" max="10496" width="9" style="115"/>
    <col min="10497" max="10497" width="5" style="115" customWidth="1"/>
    <col min="10498" max="10498" width="20.09765625" style="115" customWidth="1"/>
    <col min="10499" max="10499" width="6.19921875" style="115" customWidth="1"/>
    <col min="10500" max="10504" width="11.8984375" style="115" customWidth="1"/>
    <col min="10505" max="10505" width="13" style="115" customWidth="1"/>
    <col min="10506" max="10507" width="13.8984375" style="115" customWidth="1"/>
    <col min="10508" max="10508" width="12.5" style="115" bestFit="1" customWidth="1"/>
    <col min="10509" max="10509" width="15" style="115" bestFit="1" customWidth="1"/>
    <col min="10510" max="10510" width="13.8984375" style="115" customWidth="1"/>
    <col min="10511" max="10511" width="9.59765625" style="115" customWidth="1"/>
    <col min="10512" max="10512" width="0" style="115" hidden="1" customWidth="1"/>
    <col min="10513" max="10513" width="10" style="115" customWidth="1"/>
    <col min="10514" max="10752" width="9" style="115"/>
    <col min="10753" max="10753" width="5" style="115" customWidth="1"/>
    <col min="10754" max="10754" width="20.09765625" style="115" customWidth="1"/>
    <col min="10755" max="10755" width="6.19921875" style="115" customWidth="1"/>
    <col min="10756" max="10760" width="11.8984375" style="115" customWidth="1"/>
    <col min="10761" max="10761" width="13" style="115" customWidth="1"/>
    <col min="10762" max="10763" width="13.8984375" style="115" customWidth="1"/>
    <col min="10764" max="10764" width="12.5" style="115" bestFit="1" customWidth="1"/>
    <col min="10765" max="10765" width="15" style="115" bestFit="1" customWidth="1"/>
    <col min="10766" max="10766" width="13.8984375" style="115" customWidth="1"/>
    <col min="10767" max="10767" width="9.59765625" style="115" customWidth="1"/>
    <col min="10768" max="10768" width="0" style="115" hidden="1" customWidth="1"/>
    <col min="10769" max="10769" width="10" style="115" customWidth="1"/>
    <col min="10770" max="11008" width="9" style="115"/>
    <col min="11009" max="11009" width="5" style="115" customWidth="1"/>
    <col min="11010" max="11010" width="20.09765625" style="115" customWidth="1"/>
    <col min="11011" max="11011" width="6.19921875" style="115" customWidth="1"/>
    <col min="11012" max="11016" width="11.8984375" style="115" customWidth="1"/>
    <col min="11017" max="11017" width="13" style="115" customWidth="1"/>
    <col min="11018" max="11019" width="13.8984375" style="115" customWidth="1"/>
    <col min="11020" max="11020" width="12.5" style="115" bestFit="1" customWidth="1"/>
    <col min="11021" max="11021" width="15" style="115" bestFit="1" customWidth="1"/>
    <col min="11022" max="11022" width="13.8984375" style="115" customWidth="1"/>
    <col min="11023" max="11023" width="9.59765625" style="115" customWidth="1"/>
    <col min="11024" max="11024" width="0" style="115" hidden="1" customWidth="1"/>
    <col min="11025" max="11025" width="10" style="115" customWidth="1"/>
    <col min="11026" max="11264" width="9" style="115"/>
    <col min="11265" max="11265" width="5" style="115" customWidth="1"/>
    <col min="11266" max="11266" width="20.09765625" style="115" customWidth="1"/>
    <col min="11267" max="11267" width="6.19921875" style="115" customWidth="1"/>
    <col min="11268" max="11272" width="11.8984375" style="115" customWidth="1"/>
    <col min="11273" max="11273" width="13" style="115" customWidth="1"/>
    <col min="11274" max="11275" width="13.8984375" style="115" customWidth="1"/>
    <col min="11276" max="11276" width="12.5" style="115" bestFit="1" customWidth="1"/>
    <col min="11277" max="11277" width="15" style="115" bestFit="1" customWidth="1"/>
    <col min="11278" max="11278" width="13.8984375" style="115" customWidth="1"/>
    <col min="11279" max="11279" width="9.59765625" style="115" customWidth="1"/>
    <col min="11280" max="11280" width="0" style="115" hidden="1" customWidth="1"/>
    <col min="11281" max="11281" width="10" style="115" customWidth="1"/>
    <col min="11282" max="11520" width="9" style="115"/>
    <col min="11521" max="11521" width="5" style="115" customWidth="1"/>
    <col min="11522" max="11522" width="20.09765625" style="115" customWidth="1"/>
    <col min="11523" max="11523" width="6.19921875" style="115" customWidth="1"/>
    <col min="11524" max="11528" width="11.8984375" style="115" customWidth="1"/>
    <col min="11529" max="11529" width="13" style="115" customWidth="1"/>
    <col min="11530" max="11531" width="13.8984375" style="115" customWidth="1"/>
    <col min="11532" max="11532" width="12.5" style="115" bestFit="1" customWidth="1"/>
    <col min="11533" max="11533" width="15" style="115" bestFit="1" customWidth="1"/>
    <col min="11534" max="11534" width="13.8984375" style="115" customWidth="1"/>
    <col min="11535" max="11535" width="9.59765625" style="115" customWidth="1"/>
    <col min="11536" max="11536" width="0" style="115" hidden="1" customWidth="1"/>
    <col min="11537" max="11537" width="10" style="115" customWidth="1"/>
    <col min="11538" max="11776" width="9" style="115"/>
    <col min="11777" max="11777" width="5" style="115" customWidth="1"/>
    <col min="11778" max="11778" width="20.09765625" style="115" customWidth="1"/>
    <col min="11779" max="11779" width="6.19921875" style="115" customWidth="1"/>
    <col min="11780" max="11784" width="11.8984375" style="115" customWidth="1"/>
    <col min="11785" max="11785" width="13" style="115" customWidth="1"/>
    <col min="11786" max="11787" width="13.8984375" style="115" customWidth="1"/>
    <col min="11788" max="11788" width="12.5" style="115" bestFit="1" customWidth="1"/>
    <col min="11789" max="11789" width="15" style="115" bestFit="1" customWidth="1"/>
    <col min="11790" max="11790" width="13.8984375" style="115" customWidth="1"/>
    <col min="11791" max="11791" width="9.59765625" style="115" customWidth="1"/>
    <col min="11792" max="11792" width="0" style="115" hidden="1" customWidth="1"/>
    <col min="11793" max="11793" width="10" style="115" customWidth="1"/>
    <col min="11794" max="12032" width="9" style="115"/>
    <col min="12033" max="12033" width="5" style="115" customWidth="1"/>
    <col min="12034" max="12034" width="20.09765625" style="115" customWidth="1"/>
    <col min="12035" max="12035" width="6.19921875" style="115" customWidth="1"/>
    <col min="12036" max="12040" width="11.8984375" style="115" customWidth="1"/>
    <col min="12041" max="12041" width="13" style="115" customWidth="1"/>
    <col min="12042" max="12043" width="13.8984375" style="115" customWidth="1"/>
    <col min="12044" max="12044" width="12.5" style="115" bestFit="1" customWidth="1"/>
    <col min="12045" max="12045" width="15" style="115" bestFit="1" customWidth="1"/>
    <col min="12046" max="12046" width="13.8984375" style="115" customWidth="1"/>
    <col min="12047" max="12047" width="9.59765625" style="115" customWidth="1"/>
    <col min="12048" max="12048" width="0" style="115" hidden="1" customWidth="1"/>
    <col min="12049" max="12049" width="10" style="115" customWidth="1"/>
    <col min="12050" max="12288" width="9" style="115"/>
    <col min="12289" max="12289" width="5" style="115" customWidth="1"/>
    <col min="12290" max="12290" width="20.09765625" style="115" customWidth="1"/>
    <col min="12291" max="12291" width="6.19921875" style="115" customWidth="1"/>
    <col min="12292" max="12296" width="11.8984375" style="115" customWidth="1"/>
    <col min="12297" max="12297" width="13" style="115" customWidth="1"/>
    <col min="12298" max="12299" width="13.8984375" style="115" customWidth="1"/>
    <col min="12300" max="12300" width="12.5" style="115" bestFit="1" customWidth="1"/>
    <col min="12301" max="12301" width="15" style="115" bestFit="1" customWidth="1"/>
    <col min="12302" max="12302" width="13.8984375" style="115" customWidth="1"/>
    <col min="12303" max="12303" width="9.59765625" style="115" customWidth="1"/>
    <col min="12304" max="12304" width="0" style="115" hidden="1" customWidth="1"/>
    <col min="12305" max="12305" width="10" style="115" customWidth="1"/>
    <col min="12306" max="12544" width="9" style="115"/>
    <col min="12545" max="12545" width="5" style="115" customWidth="1"/>
    <col min="12546" max="12546" width="20.09765625" style="115" customWidth="1"/>
    <col min="12547" max="12547" width="6.19921875" style="115" customWidth="1"/>
    <col min="12548" max="12552" width="11.8984375" style="115" customWidth="1"/>
    <col min="12553" max="12553" width="13" style="115" customWidth="1"/>
    <col min="12554" max="12555" width="13.8984375" style="115" customWidth="1"/>
    <col min="12556" max="12556" width="12.5" style="115" bestFit="1" customWidth="1"/>
    <col min="12557" max="12557" width="15" style="115" bestFit="1" customWidth="1"/>
    <col min="12558" max="12558" width="13.8984375" style="115" customWidth="1"/>
    <col min="12559" max="12559" width="9.59765625" style="115" customWidth="1"/>
    <col min="12560" max="12560" width="0" style="115" hidden="1" customWidth="1"/>
    <col min="12561" max="12561" width="10" style="115" customWidth="1"/>
    <col min="12562" max="12800" width="9" style="115"/>
    <col min="12801" max="12801" width="5" style="115" customWidth="1"/>
    <col min="12802" max="12802" width="20.09765625" style="115" customWidth="1"/>
    <col min="12803" max="12803" width="6.19921875" style="115" customWidth="1"/>
    <col min="12804" max="12808" width="11.8984375" style="115" customWidth="1"/>
    <col min="12809" max="12809" width="13" style="115" customWidth="1"/>
    <col min="12810" max="12811" width="13.8984375" style="115" customWidth="1"/>
    <col min="12812" max="12812" width="12.5" style="115" bestFit="1" customWidth="1"/>
    <col min="12813" max="12813" width="15" style="115" bestFit="1" customWidth="1"/>
    <col min="12814" max="12814" width="13.8984375" style="115" customWidth="1"/>
    <col min="12815" max="12815" width="9.59765625" style="115" customWidth="1"/>
    <col min="12816" max="12816" width="0" style="115" hidden="1" customWidth="1"/>
    <col min="12817" max="12817" width="10" style="115" customWidth="1"/>
    <col min="12818" max="13056" width="9" style="115"/>
    <col min="13057" max="13057" width="5" style="115" customWidth="1"/>
    <col min="13058" max="13058" width="20.09765625" style="115" customWidth="1"/>
    <col min="13059" max="13059" width="6.19921875" style="115" customWidth="1"/>
    <col min="13060" max="13064" width="11.8984375" style="115" customWidth="1"/>
    <col min="13065" max="13065" width="13" style="115" customWidth="1"/>
    <col min="13066" max="13067" width="13.8984375" style="115" customWidth="1"/>
    <col min="13068" max="13068" width="12.5" style="115" bestFit="1" customWidth="1"/>
    <col min="13069" max="13069" width="15" style="115" bestFit="1" customWidth="1"/>
    <col min="13070" max="13070" width="13.8984375" style="115" customWidth="1"/>
    <col min="13071" max="13071" width="9.59765625" style="115" customWidth="1"/>
    <col min="13072" max="13072" width="0" style="115" hidden="1" customWidth="1"/>
    <col min="13073" max="13073" width="10" style="115" customWidth="1"/>
    <col min="13074" max="13312" width="9" style="115"/>
    <col min="13313" max="13313" width="5" style="115" customWidth="1"/>
    <col min="13314" max="13314" width="20.09765625" style="115" customWidth="1"/>
    <col min="13315" max="13315" width="6.19921875" style="115" customWidth="1"/>
    <col min="13316" max="13320" width="11.8984375" style="115" customWidth="1"/>
    <col min="13321" max="13321" width="13" style="115" customWidth="1"/>
    <col min="13322" max="13323" width="13.8984375" style="115" customWidth="1"/>
    <col min="13324" max="13324" width="12.5" style="115" bestFit="1" customWidth="1"/>
    <col min="13325" max="13325" width="15" style="115" bestFit="1" customWidth="1"/>
    <col min="13326" max="13326" width="13.8984375" style="115" customWidth="1"/>
    <col min="13327" max="13327" width="9.59765625" style="115" customWidth="1"/>
    <col min="13328" max="13328" width="0" style="115" hidden="1" customWidth="1"/>
    <col min="13329" max="13329" width="10" style="115" customWidth="1"/>
    <col min="13330" max="13568" width="9" style="115"/>
    <col min="13569" max="13569" width="5" style="115" customWidth="1"/>
    <col min="13570" max="13570" width="20.09765625" style="115" customWidth="1"/>
    <col min="13571" max="13571" width="6.19921875" style="115" customWidth="1"/>
    <col min="13572" max="13576" width="11.8984375" style="115" customWidth="1"/>
    <col min="13577" max="13577" width="13" style="115" customWidth="1"/>
    <col min="13578" max="13579" width="13.8984375" style="115" customWidth="1"/>
    <col min="13580" max="13580" width="12.5" style="115" bestFit="1" customWidth="1"/>
    <col min="13581" max="13581" width="15" style="115" bestFit="1" customWidth="1"/>
    <col min="13582" max="13582" width="13.8984375" style="115" customWidth="1"/>
    <col min="13583" max="13583" width="9.59765625" style="115" customWidth="1"/>
    <col min="13584" max="13584" width="0" style="115" hidden="1" customWidth="1"/>
    <col min="13585" max="13585" width="10" style="115" customWidth="1"/>
    <col min="13586" max="13824" width="9" style="115"/>
    <col min="13825" max="13825" width="5" style="115" customWidth="1"/>
    <col min="13826" max="13826" width="20.09765625" style="115" customWidth="1"/>
    <col min="13827" max="13827" width="6.19921875" style="115" customWidth="1"/>
    <col min="13828" max="13832" width="11.8984375" style="115" customWidth="1"/>
    <col min="13833" max="13833" width="13" style="115" customWidth="1"/>
    <col min="13834" max="13835" width="13.8984375" style="115" customWidth="1"/>
    <col min="13836" max="13836" width="12.5" style="115" bestFit="1" customWidth="1"/>
    <col min="13837" max="13837" width="15" style="115" bestFit="1" customWidth="1"/>
    <col min="13838" max="13838" width="13.8984375" style="115" customWidth="1"/>
    <col min="13839" max="13839" width="9.59765625" style="115" customWidth="1"/>
    <col min="13840" max="13840" width="0" style="115" hidden="1" customWidth="1"/>
    <col min="13841" max="13841" width="10" style="115" customWidth="1"/>
    <col min="13842" max="14080" width="9" style="115"/>
    <col min="14081" max="14081" width="5" style="115" customWidth="1"/>
    <col min="14082" max="14082" width="20.09765625" style="115" customWidth="1"/>
    <col min="14083" max="14083" width="6.19921875" style="115" customWidth="1"/>
    <col min="14084" max="14088" width="11.8984375" style="115" customWidth="1"/>
    <col min="14089" max="14089" width="13" style="115" customWidth="1"/>
    <col min="14090" max="14091" width="13.8984375" style="115" customWidth="1"/>
    <col min="14092" max="14092" width="12.5" style="115" bestFit="1" customWidth="1"/>
    <col min="14093" max="14093" width="15" style="115" bestFit="1" customWidth="1"/>
    <col min="14094" max="14094" width="13.8984375" style="115" customWidth="1"/>
    <col min="14095" max="14095" width="9.59765625" style="115" customWidth="1"/>
    <col min="14096" max="14096" width="0" style="115" hidden="1" customWidth="1"/>
    <col min="14097" max="14097" width="10" style="115" customWidth="1"/>
    <col min="14098" max="14336" width="9" style="115"/>
    <col min="14337" max="14337" width="5" style="115" customWidth="1"/>
    <col min="14338" max="14338" width="20.09765625" style="115" customWidth="1"/>
    <col min="14339" max="14339" width="6.19921875" style="115" customWidth="1"/>
    <col min="14340" max="14344" width="11.8984375" style="115" customWidth="1"/>
    <col min="14345" max="14345" width="13" style="115" customWidth="1"/>
    <col min="14346" max="14347" width="13.8984375" style="115" customWidth="1"/>
    <col min="14348" max="14348" width="12.5" style="115" bestFit="1" customWidth="1"/>
    <col min="14349" max="14349" width="15" style="115" bestFit="1" customWidth="1"/>
    <col min="14350" max="14350" width="13.8984375" style="115" customWidth="1"/>
    <col min="14351" max="14351" width="9.59765625" style="115" customWidth="1"/>
    <col min="14352" max="14352" width="0" style="115" hidden="1" customWidth="1"/>
    <col min="14353" max="14353" width="10" style="115" customWidth="1"/>
    <col min="14354" max="14592" width="9" style="115"/>
    <col min="14593" max="14593" width="5" style="115" customWidth="1"/>
    <col min="14594" max="14594" width="20.09765625" style="115" customWidth="1"/>
    <col min="14595" max="14595" width="6.19921875" style="115" customWidth="1"/>
    <col min="14596" max="14600" width="11.8984375" style="115" customWidth="1"/>
    <col min="14601" max="14601" width="13" style="115" customWidth="1"/>
    <col min="14602" max="14603" width="13.8984375" style="115" customWidth="1"/>
    <col min="14604" max="14604" width="12.5" style="115" bestFit="1" customWidth="1"/>
    <col min="14605" max="14605" width="15" style="115" bestFit="1" customWidth="1"/>
    <col min="14606" max="14606" width="13.8984375" style="115" customWidth="1"/>
    <col min="14607" max="14607" width="9.59765625" style="115" customWidth="1"/>
    <col min="14608" max="14608" width="0" style="115" hidden="1" customWidth="1"/>
    <col min="14609" max="14609" width="10" style="115" customWidth="1"/>
    <col min="14610" max="14848" width="9" style="115"/>
    <col min="14849" max="14849" width="5" style="115" customWidth="1"/>
    <col min="14850" max="14850" width="20.09765625" style="115" customWidth="1"/>
    <col min="14851" max="14851" width="6.19921875" style="115" customWidth="1"/>
    <col min="14852" max="14856" width="11.8984375" style="115" customWidth="1"/>
    <col min="14857" max="14857" width="13" style="115" customWidth="1"/>
    <col min="14858" max="14859" width="13.8984375" style="115" customWidth="1"/>
    <col min="14860" max="14860" width="12.5" style="115" bestFit="1" customWidth="1"/>
    <col min="14861" max="14861" width="15" style="115" bestFit="1" customWidth="1"/>
    <col min="14862" max="14862" width="13.8984375" style="115" customWidth="1"/>
    <col min="14863" max="14863" width="9.59765625" style="115" customWidth="1"/>
    <col min="14864" max="14864" width="0" style="115" hidden="1" customWidth="1"/>
    <col min="14865" max="14865" width="10" style="115" customWidth="1"/>
    <col min="14866" max="15104" width="9" style="115"/>
    <col min="15105" max="15105" width="5" style="115" customWidth="1"/>
    <col min="15106" max="15106" width="20.09765625" style="115" customWidth="1"/>
    <col min="15107" max="15107" width="6.19921875" style="115" customWidth="1"/>
    <col min="15108" max="15112" width="11.8984375" style="115" customWidth="1"/>
    <col min="15113" max="15113" width="13" style="115" customWidth="1"/>
    <col min="15114" max="15115" width="13.8984375" style="115" customWidth="1"/>
    <col min="15116" max="15116" width="12.5" style="115" bestFit="1" customWidth="1"/>
    <col min="15117" max="15117" width="15" style="115" bestFit="1" customWidth="1"/>
    <col min="15118" max="15118" width="13.8984375" style="115" customWidth="1"/>
    <col min="15119" max="15119" width="9.59765625" style="115" customWidth="1"/>
    <col min="15120" max="15120" width="0" style="115" hidden="1" customWidth="1"/>
    <col min="15121" max="15121" width="10" style="115" customWidth="1"/>
    <col min="15122" max="15360" width="9" style="115"/>
    <col min="15361" max="15361" width="5" style="115" customWidth="1"/>
    <col min="15362" max="15362" width="20.09765625" style="115" customWidth="1"/>
    <col min="15363" max="15363" width="6.19921875" style="115" customWidth="1"/>
    <col min="15364" max="15368" width="11.8984375" style="115" customWidth="1"/>
    <col min="15369" max="15369" width="13" style="115" customWidth="1"/>
    <col min="15370" max="15371" width="13.8984375" style="115" customWidth="1"/>
    <col min="15372" max="15372" width="12.5" style="115" bestFit="1" customWidth="1"/>
    <col min="15373" max="15373" width="15" style="115" bestFit="1" customWidth="1"/>
    <col min="15374" max="15374" width="13.8984375" style="115" customWidth="1"/>
    <col min="15375" max="15375" width="9.59765625" style="115" customWidth="1"/>
    <col min="15376" max="15376" width="0" style="115" hidden="1" customWidth="1"/>
    <col min="15377" max="15377" width="10" style="115" customWidth="1"/>
    <col min="15378" max="15616" width="9" style="115"/>
    <col min="15617" max="15617" width="5" style="115" customWidth="1"/>
    <col min="15618" max="15618" width="20.09765625" style="115" customWidth="1"/>
    <col min="15619" max="15619" width="6.19921875" style="115" customWidth="1"/>
    <col min="15620" max="15624" width="11.8984375" style="115" customWidth="1"/>
    <col min="15625" max="15625" width="13" style="115" customWidth="1"/>
    <col min="15626" max="15627" width="13.8984375" style="115" customWidth="1"/>
    <col min="15628" max="15628" width="12.5" style="115" bestFit="1" customWidth="1"/>
    <col min="15629" max="15629" width="15" style="115" bestFit="1" customWidth="1"/>
    <col min="15630" max="15630" width="13.8984375" style="115" customWidth="1"/>
    <col min="15631" max="15631" width="9.59765625" style="115" customWidth="1"/>
    <col min="15632" max="15632" width="0" style="115" hidden="1" customWidth="1"/>
    <col min="15633" max="15633" width="10" style="115" customWidth="1"/>
    <col min="15634" max="15872" width="9" style="115"/>
    <col min="15873" max="15873" width="5" style="115" customWidth="1"/>
    <col min="15874" max="15874" width="20.09765625" style="115" customWidth="1"/>
    <col min="15875" max="15875" width="6.19921875" style="115" customWidth="1"/>
    <col min="15876" max="15880" width="11.8984375" style="115" customWidth="1"/>
    <col min="15881" max="15881" width="13" style="115" customWidth="1"/>
    <col min="15882" max="15883" width="13.8984375" style="115" customWidth="1"/>
    <col min="15884" max="15884" width="12.5" style="115" bestFit="1" customWidth="1"/>
    <col min="15885" max="15885" width="15" style="115" bestFit="1" customWidth="1"/>
    <col min="15886" max="15886" width="13.8984375" style="115" customWidth="1"/>
    <col min="15887" max="15887" width="9.59765625" style="115" customWidth="1"/>
    <col min="15888" max="15888" width="0" style="115" hidden="1" customWidth="1"/>
    <col min="15889" max="15889" width="10" style="115" customWidth="1"/>
    <col min="15890" max="16128" width="9" style="115"/>
    <col min="16129" max="16129" width="5" style="115" customWidth="1"/>
    <col min="16130" max="16130" width="20.09765625" style="115" customWidth="1"/>
    <col min="16131" max="16131" width="6.19921875" style="115" customWidth="1"/>
    <col min="16132" max="16136" width="11.8984375" style="115" customWidth="1"/>
    <col min="16137" max="16137" width="13" style="115" customWidth="1"/>
    <col min="16138" max="16139" width="13.8984375" style="115" customWidth="1"/>
    <col min="16140" max="16140" width="12.5" style="115" bestFit="1" customWidth="1"/>
    <col min="16141" max="16141" width="15" style="115" bestFit="1" customWidth="1"/>
    <col min="16142" max="16142" width="13.8984375" style="115" customWidth="1"/>
    <col min="16143" max="16143" width="9.59765625" style="115" customWidth="1"/>
    <col min="16144" max="16144" width="0" style="115" hidden="1" customWidth="1"/>
    <col min="16145" max="16145" width="10" style="115" customWidth="1"/>
    <col min="16146" max="16384" width="9" style="115"/>
  </cols>
  <sheetData>
    <row r="2" spans="1:16" ht="31.5" customHeight="1">
      <c r="A2" s="39" t="s">
        <v>96</v>
      </c>
    </row>
    <row r="3" spans="1:16" ht="17.25" customHeight="1" thickBot="1">
      <c r="N3" s="115" t="s">
        <v>97</v>
      </c>
    </row>
    <row r="4" spans="1:16" s="121" customFormat="1" ht="8.25" customHeight="1">
      <c r="A4" s="116"/>
      <c r="B4" s="116"/>
      <c r="C4" s="116"/>
      <c r="D4" s="519"/>
      <c r="E4" s="520"/>
      <c r="F4" s="520"/>
      <c r="G4" s="520"/>
      <c r="H4" s="520"/>
      <c r="I4" s="520"/>
      <c r="J4" s="521"/>
      <c r="K4" s="117"/>
      <c r="L4" s="117"/>
      <c r="M4" s="118"/>
      <c r="N4" s="119"/>
      <c r="O4" s="120"/>
    </row>
    <row r="5" spans="1:16" s="121" customFormat="1" ht="25.5" customHeight="1">
      <c r="A5" s="122"/>
      <c r="B5" s="122"/>
      <c r="C5" s="122"/>
      <c r="D5" s="123"/>
      <c r="E5" s="124"/>
      <c r="F5" s="124"/>
      <c r="G5" s="124"/>
      <c r="H5" s="124"/>
      <c r="I5" s="125" t="s">
        <v>98</v>
      </c>
      <c r="J5" s="126"/>
      <c r="K5" s="127"/>
      <c r="L5" s="127" t="s">
        <v>99</v>
      </c>
      <c r="M5" s="128" t="s">
        <v>80</v>
      </c>
      <c r="N5" s="129"/>
      <c r="O5" s="130"/>
    </row>
    <row r="6" spans="1:16" s="121" customFormat="1" ht="25.5" customHeight="1" thickBot="1">
      <c r="A6" s="131" t="s">
        <v>34</v>
      </c>
      <c r="B6" s="131" t="s">
        <v>100</v>
      </c>
      <c r="C6" s="131" t="s">
        <v>37</v>
      </c>
      <c r="D6" s="132" t="s">
        <v>42</v>
      </c>
      <c r="E6" s="133" t="s">
        <v>101</v>
      </c>
      <c r="F6" s="133" t="s">
        <v>72</v>
      </c>
      <c r="G6" s="133" t="s">
        <v>102</v>
      </c>
      <c r="H6" s="133" t="s">
        <v>64</v>
      </c>
      <c r="I6" s="134" t="s">
        <v>103</v>
      </c>
      <c r="J6" s="135" t="s">
        <v>104</v>
      </c>
      <c r="K6" s="136" t="s">
        <v>105</v>
      </c>
      <c r="L6" s="136" t="s">
        <v>106</v>
      </c>
      <c r="M6" s="137" t="s">
        <v>107</v>
      </c>
      <c r="N6" s="138" t="s">
        <v>108</v>
      </c>
      <c r="O6" s="139" t="s">
        <v>18</v>
      </c>
    </row>
    <row r="7" spans="1:16" s="150" customFormat="1" ht="25.5" hidden="1" customHeight="1" thickTop="1">
      <c r="A7" s="140" t="str">
        <f>IF(B7&gt;0,1,"")</f>
        <v/>
      </c>
      <c r="B7" s="141">
        <f>단위장비1!C$1</f>
        <v>0</v>
      </c>
      <c r="C7" s="140" t="s">
        <v>109</v>
      </c>
      <c r="D7" s="142">
        <f>단위장비1!H60</f>
        <v>0</v>
      </c>
      <c r="E7" s="143">
        <f>단위장비1!H61</f>
        <v>0</v>
      </c>
      <c r="F7" s="143">
        <f>단위장비1!H62+단위장비1!H63+단위장비1!H64+단위장비1!H68</f>
        <v>0</v>
      </c>
      <c r="G7" s="143">
        <f>단위장비1!H65+단위장비1!H66</f>
        <v>0</v>
      </c>
      <c r="H7" s="143">
        <f>단위장비1!H67</f>
        <v>0</v>
      </c>
      <c r="I7" s="144">
        <f>IF($B7&gt;0,'원가항목별(집계)'!I$38*$P7/$P$23,0)</f>
        <v>0</v>
      </c>
      <c r="J7" s="145">
        <f>SUM(D7:I7)</f>
        <v>0</v>
      </c>
      <c r="K7" s="146">
        <f>IF(B7&gt;0,'원가항목별(집계)'!I$34*P7/P$23,0)</f>
        <v>0</v>
      </c>
      <c r="L7" s="146">
        <f>IF($B7&gt;0,'원가항목별(집계)'!I$39*$P7/$P$23,0)</f>
        <v>0</v>
      </c>
      <c r="M7" s="147">
        <f>단위장비1!H71+단위장비1!H72</f>
        <v>0</v>
      </c>
      <c r="N7" s="148">
        <f>SUM(J7:M7)</f>
        <v>0</v>
      </c>
      <c r="O7" s="149"/>
      <c r="P7" s="150">
        <f>D7+E7+F7+G7+H7+M7</f>
        <v>0</v>
      </c>
    </row>
    <row r="8" spans="1:16" s="150" customFormat="1" ht="25.5" hidden="1" customHeight="1">
      <c r="A8" s="151" t="str">
        <f t="shared" ref="A8:A16" si="0">IF(B8&gt;0,A7+1,"")</f>
        <v/>
      </c>
      <c r="B8" s="152">
        <f>단위장비2!C$1</f>
        <v>0</v>
      </c>
      <c r="C8" s="151" t="s">
        <v>109</v>
      </c>
      <c r="D8" s="153">
        <f>단위장비2!H50</f>
        <v>0</v>
      </c>
      <c r="E8" s="154">
        <f>단위장비2!H51</f>
        <v>0</v>
      </c>
      <c r="F8" s="154">
        <f>단위장비2!H52+단위장비2!H53+단위장비2!H54+단위장비2!H58</f>
        <v>0</v>
      </c>
      <c r="G8" s="154">
        <f>단위장비2!H55+단위장비2!H56</f>
        <v>0</v>
      </c>
      <c r="H8" s="154">
        <f>단위장비2!H57</f>
        <v>0</v>
      </c>
      <c r="I8" s="155">
        <f>IF($B8&gt;0,'원가항목별(집계)'!I$38*$P8/$P$23,0)</f>
        <v>0</v>
      </c>
      <c r="J8" s="156">
        <f>SUM(D8:I8)</f>
        <v>0</v>
      </c>
      <c r="K8" s="157">
        <f>IF(B8&gt;0,'원가항목별(집계)'!I$34*P8/P$23,0)</f>
        <v>0</v>
      </c>
      <c r="L8" s="157">
        <f>IF($B8&gt;0,'원가항목별(집계)'!I$39*$P8/$P$23,0)</f>
        <v>0</v>
      </c>
      <c r="M8" s="158">
        <f>단위장비2!H61+단위장비2!H62</f>
        <v>0</v>
      </c>
      <c r="N8" s="159">
        <f t="shared" ref="N8:N16" si="1">SUM(J8:M8)</f>
        <v>0</v>
      </c>
      <c r="O8" s="160"/>
      <c r="P8" s="150">
        <f t="shared" ref="P8:P16" si="2">D8+E8+F8+G8+H8+M8</f>
        <v>0</v>
      </c>
    </row>
    <row r="9" spans="1:16" s="150" customFormat="1" ht="25.5" customHeight="1" thickTop="1">
      <c r="A9" s="151" t="e">
        <f t="shared" si="0"/>
        <v>#VALUE!</v>
      </c>
      <c r="B9" s="152" t="str">
        <f>단위장비3!C$1</f>
        <v>바니쉬 도포기</v>
      </c>
      <c r="C9" s="151" t="s">
        <v>110</v>
      </c>
      <c r="D9" s="153">
        <f>단위장비3!H51</f>
        <v>804600000</v>
      </c>
      <c r="E9" s="154">
        <f>단위장비3!H52</f>
        <v>0</v>
      </c>
      <c r="F9" s="154">
        <f>단위장비3!H53+단위장비3!H54+단위장비3!H55+단위장비3!H59</f>
        <v>54000000</v>
      </c>
      <c r="G9" s="154">
        <f>단위장비3!H56+단위장비3!H57</f>
        <v>0</v>
      </c>
      <c r="H9" s="154">
        <f>단위장비3!H58</f>
        <v>0</v>
      </c>
      <c r="I9" s="155">
        <f>IF($B9&gt;0,'원가항목별(집계)'!I$38*$P9/$P$23,0)</f>
        <v>19913798.102012023</v>
      </c>
      <c r="J9" s="156">
        <f t="shared" ref="J9:J20" si="3">SUM(D9:I9)</f>
        <v>878513798.10201204</v>
      </c>
      <c r="K9" s="157">
        <f>IF(B9&gt;0,'원가항목별(집계)'!I$34*P9/P$23,0)</f>
        <v>250598554.28206962</v>
      </c>
      <c r="L9" s="157">
        <f>IF($B9&gt;0,'원가항목별(집계)'!I$39*$P9/$P$23,0)</f>
        <v>0</v>
      </c>
      <c r="M9" s="158">
        <f>단위장비3!H62+단위장비3!H63</f>
        <v>0</v>
      </c>
      <c r="N9" s="159">
        <f t="shared" si="1"/>
        <v>1129112352.3840816</v>
      </c>
      <c r="O9" s="160"/>
      <c r="P9" s="150">
        <f t="shared" si="2"/>
        <v>858600000</v>
      </c>
    </row>
    <row r="10" spans="1:16" s="150" customFormat="1" ht="25.5" customHeight="1">
      <c r="A10" s="151" t="e">
        <f t="shared" si="0"/>
        <v>#VALUE!</v>
      </c>
      <c r="B10" s="152" t="str">
        <f>단위장비4!C1</f>
        <v>와이어 포밍기</v>
      </c>
      <c r="C10" s="151" t="s">
        <v>110</v>
      </c>
      <c r="D10" s="153">
        <f>단위장비4!H62</f>
        <v>94450000</v>
      </c>
      <c r="E10" s="154">
        <f>단위장비4!H63</f>
        <v>0</v>
      </c>
      <c r="F10" s="154">
        <f>단위장비4!H64+단위장비4!H65+단위장비4!H66+단위장비4!H70</f>
        <v>30000000</v>
      </c>
      <c r="G10" s="154">
        <f>단위장비4!H67+단위장비4!H68</f>
        <v>0</v>
      </c>
      <c r="H10" s="154">
        <f>단위장비4!H69</f>
        <v>0</v>
      </c>
      <c r="I10" s="155">
        <f>IF($B10&gt;0,'원가항목별(집계)'!I$38*$P10/$P$23,0)</f>
        <v>2886410.638010012</v>
      </c>
      <c r="J10" s="156">
        <f t="shared" si="3"/>
        <v>127336410.63801001</v>
      </c>
      <c r="K10" s="157">
        <f>IF(B10&gt;0,'원가항목별(집계)'!I$34*P10/P$23,0)</f>
        <v>36323072.537157655</v>
      </c>
      <c r="L10" s="157">
        <f>IF($B10&gt;0,'원가항목별(집계)'!I$39*$P10/$P$23,0)</f>
        <v>0</v>
      </c>
      <c r="M10" s="158">
        <f>단위장비4!H73+단위장비4!H74</f>
        <v>0</v>
      </c>
      <c r="N10" s="159">
        <f t="shared" si="1"/>
        <v>163659483.17516768</v>
      </c>
      <c r="O10" s="160"/>
      <c r="P10" s="150">
        <f t="shared" si="2"/>
        <v>124450000</v>
      </c>
    </row>
    <row r="11" spans="1:16" s="150" customFormat="1" ht="25.5" customHeight="1">
      <c r="A11" s="151" t="e">
        <f t="shared" si="0"/>
        <v>#VALUE!</v>
      </c>
      <c r="B11" s="152" t="str">
        <f>단위장비5!C1</f>
        <v>터미널 조립기</v>
      </c>
      <c r="C11" s="151" t="s">
        <v>110</v>
      </c>
      <c r="D11" s="153">
        <f>단위장비5!H55</f>
        <v>85950000</v>
      </c>
      <c r="E11" s="154">
        <f>단위장비5!H56</f>
        <v>0</v>
      </c>
      <c r="F11" s="154">
        <f>단위장비5!H57+단위장비5!H58+단위장비5!H59+단위장비5!H63</f>
        <v>21000000</v>
      </c>
      <c r="G11" s="154">
        <f>단위장비5!H60+단위장비5!H61</f>
        <v>0</v>
      </c>
      <c r="H11" s="154">
        <f>단위장비5!H62</f>
        <v>0</v>
      </c>
      <c r="I11" s="155">
        <f>IF($B11&gt;0,'원가항목별(집계)'!I$38*$P11/$P$23,0)</f>
        <v>2480527.2618334331</v>
      </c>
      <c r="J11" s="156">
        <f t="shared" si="3"/>
        <v>109430527.26183343</v>
      </c>
      <c r="K11" s="157">
        <f>IF(B11&gt;0,'원가항목별(집계)'!I$34*P11/P$23,0)</f>
        <v>31215368.484122228</v>
      </c>
      <c r="L11" s="157">
        <f>IF($B11&gt;0,'원가항목별(집계)'!I$39*$P11/$P$23,0)</f>
        <v>0</v>
      </c>
      <c r="M11" s="158">
        <f>단위장비5!H66+단위장비5!H67</f>
        <v>0</v>
      </c>
      <c r="N11" s="159">
        <f t="shared" si="1"/>
        <v>140645895.74595565</v>
      </c>
      <c r="O11" s="160"/>
      <c r="P11" s="150">
        <f t="shared" si="2"/>
        <v>106950000</v>
      </c>
    </row>
    <row r="12" spans="1:16" s="150" customFormat="1" ht="25.5" customHeight="1">
      <c r="A12" s="151" t="e">
        <f t="shared" si="0"/>
        <v>#VALUE!</v>
      </c>
      <c r="B12" s="152" t="str">
        <f>단위장비6!C$1</f>
        <v>코킹 &amp; 컷팅기</v>
      </c>
      <c r="C12" s="151" t="s">
        <v>110</v>
      </c>
      <c r="D12" s="153">
        <f>단위장비6!H50</f>
        <v>180000000</v>
      </c>
      <c r="E12" s="154">
        <f>단위장비6!H51</f>
        <v>0</v>
      </c>
      <c r="F12" s="154">
        <f>단위장비6!H52+단위장비6!H53+단위장비6!H54+단위장비6!H58</f>
        <v>0</v>
      </c>
      <c r="G12" s="154">
        <f>단위장비6!H55+단위장비6!H56</f>
        <v>0</v>
      </c>
      <c r="H12" s="154">
        <f>단위장비6!H57</f>
        <v>0</v>
      </c>
      <c r="I12" s="155">
        <f>IF($B12&gt;0,'원가항목별(집계)'!I$38*$P12/$P$23,0)</f>
        <v>4174800.4406733797</v>
      </c>
      <c r="J12" s="156">
        <f t="shared" si="3"/>
        <v>184174800.44067338</v>
      </c>
      <c r="K12" s="157">
        <f>IF(B12&gt;0,'원가항목별(집계)'!I$34*P12/P$23,0)</f>
        <v>52536384.54550726</v>
      </c>
      <c r="L12" s="157">
        <f>IF($B12&gt;0,'원가항목별(집계)'!I$39*$P12/$P$23,0)</f>
        <v>0</v>
      </c>
      <c r="M12" s="158">
        <f>단위장비6!H61+단위장비6!H62</f>
        <v>0</v>
      </c>
      <c r="N12" s="159">
        <f t="shared" si="1"/>
        <v>236711184.98618063</v>
      </c>
      <c r="O12" s="160"/>
      <c r="P12" s="150">
        <f t="shared" si="2"/>
        <v>180000000</v>
      </c>
    </row>
    <row r="13" spans="1:16" s="150" customFormat="1" ht="25.5" customHeight="1">
      <c r="A13" s="151" t="e">
        <f t="shared" si="0"/>
        <v>#VALUE!</v>
      </c>
      <c r="B13" s="152" t="str">
        <f>단위장비7!C$1</f>
        <v>퓨징기</v>
      </c>
      <c r="C13" s="151" t="s">
        <v>110</v>
      </c>
      <c r="D13" s="153">
        <f>단위장비7!H41</f>
        <v>460000000</v>
      </c>
      <c r="E13" s="154">
        <f>단위장비7!H42</f>
        <v>0</v>
      </c>
      <c r="F13" s="154">
        <f>단위장비7!H43+단위장비7!H44+단위장비7!H45+단위장비7!H49</f>
        <v>0</v>
      </c>
      <c r="G13" s="154">
        <f>단위장비7!H46+단위장비7!H47</f>
        <v>0</v>
      </c>
      <c r="H13" s="154">
        <f>단위장비7!H48</f>
        <v>0</v>
      </c>
      <c r="I13" s="155">
        <f>IF($B13&gt;0,'원가항목별(집계)'!I$38*$P13/$P$23,0)</f>
        <v>10668934.459498638</v>
      </c>
      <c r="J13" s="156">
        <f t="shared" si="3"/>
        <v>470668934.45949864</v>
      </c>
      <c r="K13" s="157">
        <f>IF(B13&gt;0,'원가항목별(집계)'!I$34*P13/P$23,0)</f>
        <v>134259649.39407411</v>
      </c>
      <c r="L13" s="157">
        <f>IF($B13&gt;0,'원가항목별(집계)'!I$39*$P13/$P$23,0)</f>
        <v>0</v>
      </c>
      <c r="M13" s="158">
        <f>단위장비7!H52+단위장비7!H53</f>
        <v>0</v>
      </c>
      <c r="N13" s="159">
        <f t="shared" si="1"/>
        <v>604928583.85357273</v>
      </c>
      <c r="O13" s="160"/>
      <c r="P13" s="150">
        <f t="shared" si="2"/>
        <v>460000000</v>
      </c>
    </row>
    <row r="14" spans="1:16" s="150" customFormat="1" ht="25.5" hidden="1" customHeight="1">
      <c r="A14" s="151" t="str">
        <f t="shared" si="0"/>
        <v/>
      </c>
      <c r="B14" s="152">
        <f>단위장비8!C$1</f>
        <v>0</v>
      </c>
      <c r="C14" s="151" t="s">
        <v>110</v>
      </c>
      <c r="D14" s="153">
        <f>단위장비8!H52</f>
        <v>0</v>
      </c>
      <c r="E14" s="154">
        <f>단위장비8!H53</f>
        <v>0</v>
      </c>
      <c r="F14" s="154">
        <f>단위장비8!H54+단위장비8!H55+단위장비8!H56+단위장비8!H60</f>
        <v>0</v>
      </c>
      <c r="G14" s="154">
        <f>단위장비8!H57+단위장비8!H58</f>
        <v>0</v>
      </c>
      <c r="H14" s="154">
        <f>단위장비8!H59</f>
        <v>0</v>
      </c>
      <c r="I14" s="155">
        <f>IF($B14&gt;0,'원가항목별(집계)'!I$38*$P14/$P$23,0)</f>
        <v>0</v>
      </c>
      <c r="J14" s="156">
        <f t="shared" si="3"/>
        <v>0</v>
      </c>
      <c r="K14" s="157">
        <f>IF(B14&gt;0,'원가항목별(집계)'!I$34*P14/P$23,0)</f>
        <v>0</v>
      </c>
      <c r="L14" s="157">
        <f>IF($B14&gt;0,'원가항목별(집계)'!I$39*$P14/$P$23,0)</f>
        <v>0</v>
      </c>
      <c r="M14" s="158">
        <f>단위장비8!H63+단위장비8!H64</f>
        <v>0</v>
      </c>
      <c r="N14" s="159">
        <f t="shared" si="1"/>
        <v>0</v>
      </c>
      <c r="O14" s="160"/>
      <c r="P14" s="150">
        <f t="shared" si="2"/>
        <v>0</v>
      </c>
    </row>
    <row r="15" spans="1:16" s="150" customFormat="1" ht="25.5" customHeight="1">
      <c r="A15" s="151" t="e">
        <f t="shared" si="0"/>
        <v>#VALUE!</v>
      </c>
      <c r="B15" s="152" t="str">
        <f>단위장비9!C$1</f>
        <v>온도센서 조립 및 에폭시 도포</v>
      </c>
      <c r="C15" s="151" t="s">
        <v>110</v>
      </c>
      <c r="D15" s="153">
        <f>단위장비9!H52</f>
        <v>69250000</v>
      </c>
      <c r="E15" s="154">
        <f>단위장비9!H53</f>
        <v>0</v>
      </c>
      <c r="F15" s="154">
        <f>단위장비9!H54+단위장비9!H55+단위장비9!H56+단위장비9!H60</f>
        <v>30000000</v>
      </c>
      <c r="G15" s="154">
        <f>단위장비9!H58+단위장비9!H59</f>
        <v>0</v>
      </c>
      <c r="H15" s="154">
        <f>단위장비9!H60</f>
        <v>0</v>
      </c>
      <c r="I15" s="155">
        <f>IF($B15&gt;0,'원가항목별(집계)'!I$38*$P15/$P$23,0)</f>
        <v>2301938.5763157387</v>
      </c>
      <c r="J15" s="156">
        <f t="shared" si="3"/>
        <v>101551938.57631575</v>
      </c>
      <c r="K15" s="157">
        <f>IF(B15&gt;0,'원가항목별(집계)'!I$34*P15/P$23,0)</f>
        <v>28967978.700786639</v>
      </c>
      <c r="L15" s="157">
        <f>IF($B15&gt;0,'원가항목별(집계)'!I$39*$P15/$P$23,0)</f>
        <v>0</v>
      </c>
      <c r="M15" s="158">
        <f>단위장비9!H63+단위장비9!H64</f>
        <v>0</v>
      </c>
      <c r="N15" s="159">
        <f t="shared" si="1"/>
        <v>130519917.27710238</v>
      </c>
      <c r="O15" s="160"/>
      <c r="P15" s="150">
        <f t="shared" si="2"/>
        <v>99250000</v>
      </c>
    </row>
    <row r="16" spans="1:16" s="150" customFormat="1" ht="25.5" customHeight="1">
      <c r="A16" s="309" t="e">
        <f t="shared" si="0"/>
        <v>#VALUE!</v>
      </c>
      <c r="B16" s="310" t="str">
        <f>단위장비10!C$1</f>
        <v>에폭시 도포기</v>
      </c>
      <c r="C16" s="309" t="s">
        <v>110</v>
      </c>
      <c r="D16" s="311">
        <f>단위장비10!H55</f>
        <v>291750000</v>
      </c>
      <c r="E16" s="312">
        <f>단위장비10!H56</f>
        <v>0</v>
      </c>
      <c r="F16" s="312">
        <f>단위장비10!H57+단위장비10!H58+단위장비10!H59+단위장비10!H63</f>
        <v>42000000</v>
      </c>
      <c r="G16" s="312">
        <f>단위장비10!H62+단위장비10!H63</f>
        <v>0</v>
      </c>
      <c r="H16" s="312">
        <f>단위장비10!H62</f>
        <v>0</v>
      </c>
      <c r="I16" s="313">
        <f>IF($B16&gt;0,'원가항목별(집계)'!I$38*$P16/$P$23,0)</f>
        <v>7740775.8170818919</v>
      </c>
      <c r="J16" s="156">
        <f t="shared" si="3"/>
        <v>341490775.81708187</v>
      </c>
      <c r="K16" s="315">
        <f>IF(B16&gt;0,'원가항목별(집계)'!I$34*P16/P$23,0)</f>
        <v>97411213.011461377</v>
      </c>
      <c r="L16" s="157">
        <f>IF($B16&gt;0,'원가항목별(집계)'!I$39*$P16/$P$23,0)</f>
        <v>0</v>
      </c>
      <c r="M16" s="316">
        <f>단위장비10!H66+단위장비10!H67</f>
        <v>0</v>
      </c>
      <c r="N16" s="317">
        <f t="shared" si="1"/>
        <v>438901988.82854325</v>
      </c>
      <c r="O16" s="227"/>
      <c r="P16" s="150">
        <f t="shared" si="2"/>
        <v>333750000</v>
      </c>
    </row>
    <row r="17" spans="1:16" s="150" customFormat="1" ht="25.5" customHeight="1">
      <c r="A17" s="151" t="e">
        <f t="shared" ref="A17:A20" si="4">IF(B17&gt;0,A16+1,"")</f>
        <v>#VALUE!</v>
      </c>
      <c r="B17" s="152" t="str">
        <f>단위장비11!C$1</f>
        <v>에폭시 경화/냉각 및 온도센서 탈거</v>
      </c>
      <c r="C17" s="151" t="s">
        <v>110</v>
      </c>
      <c r="D17" s="153">
        <f>단위장비11!H54</f>
        <v>375950000</v>
      </c>
      <c r="E17" s="154">
        <f>단위장비11!H55</f>
        <v>0</v>
      </c>
      <c r="F17" s="154">
        <f>단위장비11!H56+단위장비11!H57+단위장비11!H58+단위장비11!H62</f>
        <v>48000000</v>
      </c>
      <c r="G17" s="154">
        <f>단위장비11!H59+단위장비11!H60</f>
        <v>0</v>
      </c>
      <c r="H17" s="154">
        <f>단위장비10!H62</f>
        <v>0</v>
      </c>
      <c r="I17" s="155">
        <f>IF($B17&gt;0,'원가항목별(집계)'!I$38*$P17/$P$23,0)</f>
        <v>9832814.7045748848</v>
      </c>
      <c r="J17" s="156">
        <f t="shared" si="3"/>
        <v>433782814.70457488</v>
      </c>
      <c r="K17" s="157">
        <f>IF(B17&gt;0,'원가항목별(집계)'!I$34*P17/P$23,0)</f>
        <v>123737779.04482113</v>
      </c>
      <c r="L17" s="157">
        <f>IF($B17&gt;0,'원가항목별(집계)'!I$39*$P17/$P$23,0)</f>
        <v>0</v>
      </c>
      <c r="M17" s="158">
        <f>단위장비11!H65+단위장비11!H66</f>
        <v>0</v>
      </c>
      <c r="N17" s="159">
        <f t="shared" ref="N17:N20" si="5">SUM(J17:M17)</f>
        <v>557520593.74939597</v>
      </c>
      <c r="O17" s="160"/>
      <c r="P17" s="150">
        <f t="shared" ref="P17:P20" si="6">D17+E17+F17+G17+H17+M17</f>
        <v>423950000</v>
      </c>
    </row>
    <row r="18" spans="1:16" s="150" customFormat="1" ht="25.5" customHeight="1">
      <c r="A18" s="151" t="str">
        <f t="shared" si="4"/>
        <v/>
      </c>
      <c r="B18" s="152">
        <f>단위장비12!C$1</f>
        <v>0</v>
      </c>
      <c r="C18" s="151" t="s">
        <v>110</v>
      </c>
      <c r="D18" s="153">
        <f>단위장비12!H53</f>
        <v>0</v>
      </c>
      <c r="E18" s="154">
        <f>단위장비12!H54</f>
        <v>0</v>
      </c>
      <c r="F18" s="154">
        <f>단위장비12!H55+단위장비12!H56+단위장비12!H57+단위장비12!H61</f>
        <v>0</v>
      </c>
      <c r="G18" s="154">
        <f>단위장비12!H58+단위장비12!H59</f>
        <v>0</v>
      </c>
      <c r="H18" s="154">
        <f>단위장비11!H61</f>
        <v>0</v>
      </c>
      <c r="I18" s="155">
        <f>IF($B18&gt;0,'원가항목별(집계)'!I$38*$P18/$P$23,0)</f>
        <v>0</v>
      </c>
      <c r="J18" s="156">
        <f t="shared" si="3"/>
        <v>0</v>
      </c>
      <c r="K18" s="157">
        <f>IF(B18&gt;0,'원가항목별(집계)'!I$34*P18/P$23,0)</f>
        <v>0</v>
      </c>
      <c r="L18" s="157">
        <f>IF($B18&gt;0,'원가항목별(집계)'!I$39*$P18/$P$23,0)</f>
        <v>0</v>
      </c>
      <c r="M18" s="158">
        <f>단위장비12!H64+단위장비12!H65</f>
        <v>0</v>
      </c>
      <c r="N18" s="159">
        <f t="shared" si="5"/>
        <v>0</v>
      </c>
      <c r="O18" s="160"/>
      <c r="P18" s="150">
        <f t="shared" si="6"/>
        <v>0</v>
      </c>
    </row>
    <row r="19" spans="1:16" s="150" customFormat="1" ht="25.5" customHeight="1">
      <c r="A19" s="151" t="str">
        <f t="shared" si="4"/>
        <v/>
      </c>
      <c r="B19" s="152">
        <f>단위장비13!C$1</f>
        <v>0</v>
      </c>
      <c r="C19" s="151" t="s">
        <v>110</v>
      </c>
      <c r="D19" s="153">
        <f>단위장비13!H46</f>
        <v>0</v>
      </c>
      <c r="E19" s="154">
        <f>단위장비13!H47</f>
        <v>0</v>
      </c>
      <c r="F19" s="154">
        <f>단위장비13!H48+단위장비13!H49+단위장비13!H50+단위장비13!H54</f>
        <v>0</v>
      </c>
      <c r="G19" s="154">
        <f>단위장비13!H51+단위장비13!H52</f>
        <v>0</v>
      </c>
      <c r="H19" s="154">
        <f>단위장비13!H53</f>
        <v>0</v>
      </c>
      <c r="I19" s="155">
        <f>IF($B19&gt;0,'원가항목별(집계)'!I$38*$P19/$P$23,0)</f>
        <v>0</v>
      </c>
      <c r="J19" s="156">
        <f t="shared" si="3"/>
        <v>0</v>
      </c>
      <c r="K19" s="157">
        <f>IF(B19&gt;0,'원가항목별(집계)'!I$34*P19/P$23,0)</f>
        <v>0</v>
      </c>
      <c r="L19" s="157">
        <f>IF($B19&gt;0,'원가항목별(집계)'!I$39*$P19/$P$23,0)</f>
        <v>0</v>
      </c>
      <c r="M19" s="158">
        <f>단위장비13!H57+단위장비13!H58</f>
        <v>0</v>
      </c>
      <c r="N19" s="159">
        <f t="shared" si="5"/>
        <v>0</v>
      </c>
      <c r="O19" s="160"/>
      <c r="P19" s="150">
        <f t="shared" si="6"/>
        <v>0</v>
      </c>
    </row>
    <row r="20" spans="1:16" s="150" customFormat="1" ht="25.5" customHeight="1">
      <c r="A20" s="151" t="str">
        <f t="shared" si="4"/>
        <v/>
      </c>
      <c r="B20" s="152">
        <f>단위장비14!C$1</f>
        <v>0</v>
      </c>
      <c r="C20" s="151" t="s">
        <v>110</v>
      </c>
      <c r="D20" s="153">
        <f>단위장비14!H50</f>
        <v>0</v>
      </c>
      <c r="E20" s="154">
        <f>단위장비14!H51</f>
        <v>0</v>
      </c>
      <c r="F20" s="154">
        <f>단위장비14!H52+단위장비14!H53+단위장비14!H54+단위장비14!H58</f>
        <v>0</v>
      </c>
      <c r="G20" s="154">
        <f>단위장비14!H55+단위장비14!H56</f>
        <v>0</v>
      </c>
      <c r="H20" s="154">
        <f>단위장비14!H57</f>
        <v>0</v>
      </c>
      <c r="I20" s="155">
        <f>IF($B20&gt;0,'원가항목별(집계)'!I$38*$P20/$P$23,0)</f>
        <v>0</v>
      </c>
      <c r="J20" s="156">
        <f t="shared" si="3"/>
        <v>0</v>
      </c>
      <c r="K20" s="157">
        <f>IF(B20&gt;0,'원가항목별(집계)'!I$34*P20/P$23,0)</f>
        <v>0</v>
      </c>
      <c r="L20" s="157">
        <f>IF($B20&gt;0,'원가항목별(집계)'!I$39*$P20/$P$23,0)</f>
        <v>0</v>
      </c>
      <c r="M20" s="158">
        <f>단위장비14!H61+단위장비14!H62</f>
        <v>0</v>
      </c>
      <c r="N20" s="159">
        <f t="shared" si="5"/>
        <v>0</v>
      </c>
      <c r="O20" s="160"/>
      <c r="P20" s="150">
        <f t="shared" si="6"/>
        <v>0</v>
      </c>
    </row>
    <row r="21" spans="1:16" s="150" customFormat="1" ht="25.5" customHeight="1">
      <c r="A21" s="339" t="str">
        <f t="shared" ref="A21" si="7">IF(B21&gt;0,A20+1,"")</f>
        <v/>
      </c>
      <c r="B21" s="340">
        <f>단위장비15!C$1</f>
        <v>0</v>
      </c>
      <c r="C21" s="339" t="s">
        <v>110</v>
      </c>
      <c r="D21" s="332">
        <f>단위장비15!H35</f>
        <v>0</v>
      </c>
      <c r="E21" s="333">
        <f>단위장비15!H36</f>
        <v>0</v>
      </c>
      <c r="F21" s="333">
        <f>단위장비15!H37+단위장비15!H38+단위장비15!H39+단위장비15!H43</f>
        <v>0</v>
      </c>
      <c r="G21" s="333">
        <f>단위장비15!H40+단위장비15!H41</f>
        <v>0</v>
      </c>
      <c r="H21" s="333">
        <f>단위장비15!H42</f>
        <v>0</v>
      </c>
      <c r="I21" s="334">
        <f>IF($B21&gt;0,'원가항목별(집계)'!I$38*$P21/$P$23,0)</f>
        <v>0</v>
      </c>
      <c r="J21" s="314">
        <f>SUM(D21:I21)</f>
        <v>0</v>
      </c>
      <c r="K21" s="335">
        <f>IF(B21&gt;0,'원가항목별(집계)'!I$34*P21/P$23,0)</f>
        <v>0</v>
      </c>
      <c r="L21" s="335">
        <f>IF($B21&gt;0,'원가항목별(집계)'!I$39*$P21/$P$23,0)</f>
        <v>0</v>
      </c>
      <c r="M21" s="336">
        <f>단위장비15!H46+단위장비15!H47</f>
        <v>0</v>
      </c>
      <c r="N21" s="337">
        <f t="shared" ref="N21" si="8">SUM(J21:M21)</f>
        <v>0</v>
      </c>
      <c r="O21" s="338"/>
      <c r="P21" s="150">
        <f t="shared" ref="P21" si="9">D21+E21+F21+G21+H21+M21</f>
        <v>0</v>
      </c>
    </row>
    <row r="22" spans="1:16" s="150" customFormat="1" ht="25.5" customHeight="1">
      <c r="A22" s="341" t="e">
        <f t="shared" ref="A22" si="10">IF(B22&gt;0,A21+1,"")</f>
        <v>#VALUE!</v>
      </c>
      <c r="B22" s="342" t="str">
        <f>단위장비16!C$1</f>
        <v>현지설치</v>
      </c>
      <c r="C22" s="341" t="s">
        <v>110</v>
      </c>
      <c r="D22" s="343"/>
      <c r="E22" s="344"/>
      <c r="F22" s="344"/>
      <c r="G22" s="344"/>
      <c r="H22" s="344"/>
      <c r="I22" s="345"/>
      <c r="J22" s="346"/>
      <c r="K22" s="347"/>
      <c r="L22" s="347"/>
      <c r="M22" s="348"/>
      <c r="N22" s="349">
        <f>SUM(단위장비16!H49)</f>
        <v>398000000</v>
      </c>
      <c r="O22" s="161"/>
      <c r="P22" s="150">
        <f>D22+E22+F22+G22+H22+M22</f>
        <v>0</v>
      </c>
    </row>
    <row r="23" spans="1:16" s="150" customFormat="1" ht="33" customHeight="1">
      <c r="A23" s="522" t="s">
        <v>111</v>
      </c>
      <c r="B23" s="523"/>
      <c r="C23" s="524"/>
      <c r="D23" s="162">
        <f t="shared" ref="D23:I23" si="11">SUM(D7:D22)</f>
        <v>2361950000</v>
      </c>
      <c r="E23" s="163">
        <f t="shared" si="11"/>
        <v>0</v>
      </c>
      <c r="F23" s="163">
        <f t="shared" si="11"/>
        <v>225000000</v>
      </c>
      <c r="G23" s="163">
        <f t="shared" si="11"/>
        <v>0</v>
      </c>
      <c r="H23" s="163">
        <f t="shared" si="11"/>
        <v>0</v>
      </c>
      <c r="I23" s="164">
        <f t="shared" si="11"/>
        <v>60000000</v>
      </c>
      <c r="J23" s="318">
        <f t="shared" ref="J23" si="12">SUM(VALUE(D23),VALUE(F23))</f>
        <v>2586950000</v>
      </c>
      <c r="K23" s="165">
        <f>SUM(K7:K22)</f>
        <v>755050000.00000012</v>
      </c>
      <c r="L23" s="165">
        <f>SUM(L7:L22)</f>
        <v>0</v>
      </c>
      <c r="M23" s="166">
        <f>SUM(M7:M22)</f>
        <v>0</v>
      </c>
      <c r="N23" s="167">
        <f>SUM(N7:N22)</f>
        <v>3800000000</v>
      </c>
      <c r="O23" s="168"/>
      <c r="P23" s="150">
        <f>SUM(P7:P22)</f>
        <v>2586950000</v>
      </c>
    </row>
    <row r="24" spans="1:16" s="181" customFormat="1" ht="18.75" customHeight="1">
      <c r="A24" s="169"/>
      <c r="B24" s="170"/>
      <c r="C24" s="171"/>
      <c r="D24" s="172">
        <f t="shared" ref="D24:N24" si="13">IF(D23=0,"",D23/$N23)</f>
        <v>0.62156578947368424</v>
      </c>
      <c r="E24" s="173" t="str">
        <f t="shared" si="13"/>
        <v/>
      </c>
      <c r="F24" s="173">
        <f t="shared" si="13"/>
        <v>5.921052631578947E-2</v>
      </c>
      <c r="G24" s="173" t="str">
        <f t="shared" si="13"/>
        <v/>
      </c>
      <c r="H24" s="173" t="str">
        <f t="shared" si="13"/>
        <v/>
      </c>
      <c r="I24" s="174">
        <f t="shared" si="13"/>
        <v>1.5789473684210527E-2</v>
      </c>
      <c r="J24" s="175">
        <f t="shared" si="13"/>
        <v>0.68077631578947373</v>
      </c>
      <c r="K24" s="176">
        <f t="shared" si="13"/>
        <v>0.19869736842105265</v>
      </c>
      <c r="L24" s="177" t="str">
        <f t="shared" si="13"/>
        <v/>
      </c>
      <c r="M24" s="178">
        <v>0</v>
      </c>
      <c r="N24" s="179">
        <f t="shared" si="13"/>
        <v>1</v>
      </c>
      <c r="O24" s="180"/>
    </row>
    <row r="25" spans="1:16" ht="28.5" customHeight="1">
      <c r="A25" s="115" t="s">
        <v>112</v>
      </c>
      <c r="H25" s="182"/>
      <c r="I25" s="182"/>
      <c r="J25" s="182"/>
      <c r="K25" s="182"/>
      <c r="L25" s="182"/>
    </row>
    <row r="26" spans="1:16" ht="17.25" customHeight="1">
      <c r="H26" s="183"/>
      <c r="I26" s="183"/>
      <c r="J26" s="183"/>
      <c r="K26" s="183"/>
      <c r="L26" s="183"/>
      <c r="M26" s="184"/>
      <c r="N26" s="185" t="str">
        <f>IF('원가항목별(집계)'!I43='단위공사별(집계)'!N23,"","DATA오류입니다!")</f>
        <v/>
      </c>
    </row>
    <row r="27" spans="1:16" ht="17.25" customHeight="1">
      <c r="H27" s="186"/>
      <c r="I27" s="186"/>
      <c r="J27" s="186"/>
      <c r="K27" s="186"/>
      <c r="L27" s="186"/>
      <c r="N27" s="186"/>
    </row>
    <row r="28" spans="1:16" ht="17.25" customHeight="1">
      <c r="H28" s="150"/>
      <c r="I28" s="150"/>
      <c r="J28" s="150"/>
      <c r="L28" s="150"/>
    </row>
  </sheetData>
  <mergeCells count="2">
    <mergeCell ref="D4:J4"/>
    <mergeCell ref="A23:C23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0" orientation="landscape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  <pageSetUpPr fitToPage="1"/>
  </sheetPr>
  <dimension ref="A1:K64"/>
  <sheetViews>
    <sheetView zoomScale="130" zoomScaleNormal="130" workbookViewId="0">
      <pane xSplit="3" ySplit="2" topLeftCell="D39" activePane="bottomRight" state="frozen"/>
      <selection activeCell="K5" sqref="K5"/>
      <selection pane="topRight" activeCell="K5" sqref="K5"/>
      <selection pane="bottomLeft" activeCell="K5" sqref="K5"/>
      <selection pane="bottomRight" activeCell="D61" sqref="D61"/>
    </sheetView>
  </sheetViews>
  <sheetFormatPr defaultColWidth="9" defaultRowHeight="14.4"/>
  <cols>
    <col min="1" max="1" width="5" style="115" customWidth="1"/>
    <col min="2" max="2" width="13" style="115" customWidth="1"/>
    <col min="3" max="3" width="23.59765625" style="115" customWidth="1"/>
    <col min="4" max="4" width="18.19921875" style="115" customWidth="1"/>
    <col min="5" max="5" width="5.59765625" style="121" customWidth="1"/>
    <col min="6" max="6" width="5.59765625" style="260" customWidth="1"/>
    <col min="7" max="7" width="11.8984375" style="150" customWidth="1"/>
    <col min="8" max="8" width="13.59765625" style="150" customWidth="1"/>
    <col min="9" max="9" width="12.69921875" style="115" customWidth="1"/>
    <col min="10" max="10" width="9.19921875" style="115" customWidth="1"/>
    <col min="11" max="11" width="11.5" style="115" bestFit="1" customWidth="1"/>
    <col min="12" max="256" width="9" style="115"/>
    <col min="257" max="257" width="5" style="115" customWidth="1"/>
    <col min="258" max="258" width="13" style="115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6.69921875" style="115" customWidth="1"/>
    <col min="263" max="263" width="11.8984375" style="115" customWidth="1"/>
    <col min="264" max="264" width="13.59765625" style="115" customWidth="1"/>
    <col min="265" max="265" width="12.69921875" style="115" customWidth="1"/>
    <col min="266" max="266" width="9.19921875" style="115" customWidth="1"/>
    <col min="267" max="267" width="11.5" style="115" bestFit="1" customWidth="1"/>
    <col min="268" max="512" width="9" style="115"/>
    <col min="513" max="513" width="5" style="115" customWidth="1"/>
    <col min="514" max="514" width="13" style="115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6.69921875" style="115" customWidth="1"/>
    <col min="519" max="519" width="11.8984375" style="115" customWidth="1"/>
    <col min="520" max="520" width="13.59765625" style="115" customWidth="1"/>
    <col min="521" max="521" width="12.69921875" style="115" customWidth="1"/>
    <col min="522" max="522" width="9.19921875" style="115" customWidth="1"/>
    <col min="523" max="523" width="11.5" style="115" bestFit="1" customWidth="1"/>
    <col min="524" max="768" width="9" style="115"/>
    <col min="769" max="769" width="5" style="115" customWidth="1"/>
    <col min="770" max="770" width="13" style="115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6.69921875" style="115" customWidth="1"/>
    <col min="775" max="775" width="11.8984375" style="115" customWidth="1"/>
    <col min="776" max="776" width="13.59765625" style="115" customWidth="1"/>
    <col min="777" max="777" width="12.69921875" style="115" customWidth="1"/>
    <col min="778" max="778" width="9.19921875" style="115" customWidth="1"/>
    <col min="779" max="779" width="11.5" style="115" bestFit="1" customWidth="1"/>
    <col min="780" max="1024" width="9" style="115"/>
    <col min="1025" max="1025" width="5" style="115" customWidth="1"/>
    <col min="1026" max="1026" width="13" style="115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6.69921875" style="115" customWidth="1"/>
    <col min="1031" max="1031" width="11.8984375" style="115" customWidth="1"/>
    <col min="1032" max="1032" width="13.59765625" style="115" customWidth="1"/>
    <col min="1033" max="1033" width="12.69921875" style="115" customWidth="1"/>
    <col min="1034" max="1034" width="9.19921875" style="115" customWidth="1"/>
    <col min="1035" max="1035" width="11.5" style="115" bestFit="1" customWidth="1"/>
    <col min="1036" max="1280" width="9" style="115"/>
    <col min="1281" max="1281" width="5" style="115" customWidth="1"/>
    <col min="1282" max="1282" width="13" style="115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6.69921875" style="115" customWidth="1"/>
    <col min="1287" max="1287" width="11.8984375" style="115" customWidth="1"/>
    <col min="1288" max="1288" width="13.59765625" style="115" customWidth="1"/>
    <col min="1289" max="1289" width="12.69921875" style="115" customWidth="1"/>
    <col min="1290" max="1290" width="9.19921875" style="115" customWidth="1"/>
    <col min="1291" max="1291" width="11.5" style="115" bestFit="1" customWidth="1"/>
    <col min="1292" max="1536" width="9" style="115"/>
    <col min="1537" max="1537" width="5" style="115" customWidth="1"/>
    <col min="1538" max="1538" width="13" style="115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6.69921875" style="115" customWidth="1"/>
    <col min="1543" max="1543" width="11.8984375" style="115" customWidth="1"/>
    <col min="1544" max="1544" width="13.59765625" style="115" customWidth="1"/>
    <col min="1545" max="1545" width="12.69921875" style="115" customWidth="1"/>
    <col min="1546" max="1546" width="9.19921875" style="115" customWidth="1"/>
    <col min="1547" max="1547" width="11.5" style="115" bestFit="1" customWidth="1"/>
    <col min="1548" max="1792" width="9" style="115"/>
    <col min="1793" max="1793" width="5" style="115" customWidth="1"/>
    <col min="1794" max="1794" width="13" style="115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6.69921875" style="115" customWidth="1"/>
    <col min="1799" max="1799" width="11.8984375" style="115" customWidth="1"/>
    <col min="1800" max="1800" width="13.59765625" style="115" customWidth="1"/>
    <col min="1801" max="1801" width="12.69921875" style="115" customWidth="1"/>
    <col min="1802" max="1802" width="9.19921875" style="115" customWidth="1"/>
    <col min="1803" max="1803" width="11.5" style="115" bestFit="1" customWidth="1"/>
    <col min="1804" max="2048" width="9" style="115"/>
    <col min="2049" max="2049" width="5" style="115" customWidth="1"/>
    <col min="2050" max="2050" width="13" style="115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6.69921875" style="115" customWidth="1"/>
    <col min="2055" max="2055" width="11.8984375" style="115" customWidth="1"/>
    <col min="2056" max="2056" width="13.59765625" style="115" customWidth="1"/>
    <col min="2057" max="2057" width="12.69921875" style="115" customWidth="1"/>
    <col min="2058" max="2058" width="9.19921875" style="115" customWidth="1"/>
    <col min="2059" max="2059" width="11.5" style="115" bestFit="1" customWidth="1"/>
    <col min="2060" max="2304" width="9" style="115"/>
    <col min="2305" max="2305" width="5" style="115" customWidth="1"/>
    <col min="2306" max="2306" width="13" style="115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6.69921875" style="115" customWidth="1"/>
    <col min="2311" max="2311" width="11.8984375" style="115" customWidth="1"/>
    <col min="2312" max="2312" width="13.59765625" style="115" customWidth="1"/>
    <col min="2313" max="2313" width="12.69921875" style="115" customWidth="1"/>
    <col min="2314" max="2314" width="9.19921875" style="115" customWidth="1"/>
    <col min="2315" max="2315" width="11.5" style="115" bestFit="1" customWidth="1"/>
    <col min="2316" max="2560" width="9" style="115"/>
    <col min="2561" max="2561" width="5" style="115" customWidth="1"/>
    <col min="2562" max="2562" width="13" style="115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6.69921875" style="115" customWidth="1"/>
    <col min="2567" max="2567" width="11.8984375" style="115" customWidth="1"/>
    <col min="2568" max="2568" width="13.59765625" style="115" customWidth="1"/>
    <col min="2569" max="2569" width="12.69921875" style="115" customWidth="1"/>
    <col min="2570" max="2570" width="9.19921875" style="115" customWidth="1"/>
    <col min="2571" max="2571" width="11.5" style="115" bestFit="1" customWidth="1"/>
    <col min="2572" max="2816" width="9" style="115"/>
    <col min="2817" max="2817" width="5" style="115" customWidth="1"/>
    <col min="2818" max="2818" width="13" style="115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6.69921875" style="115" customWidth="1"/>
    <col min="2823" max="2823" width="11.8984375" style="115" customWidth="1"/>
    <col min="2824" max="2824" width="13.59765625" style="115" customWidth="1"/>
    <col min="2825" max="2825" width="12.69921875" style="115" customWidth="1"/>
    <col min="2826" max="2826" width="9.19921875" style="115" customWidth="1"/>
    <col min="2827" max="2827" width="11.5" style="115" bestFit="1" customWidth="1"/>
    <col min="2828" max="3072" width="9" style="115"/>
    <col min="3073" max="3073" width="5" style="115" customWidth="1"/>
    <col min="3074" max="3074" width="13" style="115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6.69921875" style="115" customWidth="1"/>
    <col min="3079" max="3079" width="11.8984375" style="115" customWidth="1"/>
    <col min="3080" max="3080" width="13.59765625" style="115" customWidth="1"/>
    <col min="3081" max="3081" width="12.69921875" style="115" customWidth="1"/>
    <col min="3082" max="3082" width="9.19921875" style="115" customWidth="1"/>
    <col min="3083" max="3083" width="11.5" style="115" bestFit="1" customWidth="1"/>
    <col min="3084" max="3328" width="9" style="115"/>
    <col min="3329" max="3329" width="5" style="115" customWidth="1"/>
    <col min="3330" max="3330" width="13" style="115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6.69921875" style="115" customWidth="1"/>
    <col min="3335" max="3335" width="11.8984375" style="115" customWidth="1"/>
    <col min="3336" max="3336" width="13.59765625" style="115" customWidth="1"/>
    <col min="3337" max="3337" width="12.69921875" style="115" customWidth="1"/>
    <col min="3338" max="3338" width="9.19921875" style="115" customWidth="1"/>
    <col min="3339" max="3339" width="11.5" style="115" bestFit="1" customWidth="1"/>
    <col min="3340" max="3584" width="9" style="115"/>
    <col min="3585" max="3585" width="5" style="115" customWidth="1"/>
    <col min="3586" max="3586" width="13" style="115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6.69921875" style="115" customWidth="1"/>
    <col min="3591" max="3591" width="11.8984375" style="115" customWidth="1"/>
    <col min="3592" max="3592" width="13.59765625" style="115" customWidth="1"/>
    <col min="3593" max="3593" width="12.69921875" style="115" customWidth="1"/>
    <col min="3594" max="3594" width="9.19921875" style="115" customWidth="1"/>
    <col min="3595" max="3595" width="11.5" style="115" bestFit="1" customWidth="1"/>
    <col min="3596" max="3840" width="9" style="115"/>
    <col min="3841" max="3841" width="5" style="115" customWidth="1"/>
    <col min="3842" max="3842" width="13" style="115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6.69921875" style="115" customWidth="1"/>
    <col min="3847" max="3847" width="11.8984375" style="115" customWidth="1"/>
    <col min="3848" max="3848" width="13.59765625" style="115" customWidth="1"/>
    <col min="3849" max="3849" width="12.69921875" style="115" customWidth="1"/>
    <col min="3850" max="3850" width="9.19921875" style="115" customWidth="1"/>
    <col min="3851" max="3851" width="11.5" style="115" bestFit="1" customWidth="1"/>
    <col min="3852" max="4096" width="9" style="115"/>
    <col min="4097" max="4097" width="5" style="115" customWidth="1"/>
    <col min="4098" max="4098" width="13" style="115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6.69921875" style="115" customWidth="1"/>
    <col min="4103" max="4103" width="11.8984375" style="115" customWidth="1"/>
    <col min="4104" max="4104" width="13.59765625" style="115" customWidth="1"/>
    <col min="4105" max="4105" width="12.69921875" style="115" customWidth="1"/>
    <col min="4106" max="4106" width="9.19921875" style="115" customWidth="1"/>
    <col min="4107" max="4107" width="11.5" style="115" bestFit="1" customWidth="1"/>
    <col min="4108" max="4352" width="9" style="115"/>
    <col min="4353" max="4353" width="5" style="115" customWidth="1"/>
    <col min="4354" max="4354" width="13" style="115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6.69921875" style="115" customWidth="1"/>
    <col min="4359" max="4359" width="11.8984375" style="115" customWidth="1"/>
    <col min="4360" max="4360" width="13.59765625" style="115" customWidth="1"/>
    <col min="4361" max="4361" width="12.69921875" style="115" customWidth="1"/>
    <col min="4362" max="4362" width="9.19921875" style="115" customWidth="1"/>
    <col min="4363" max="4363" width="11.5" style="115" bestFit="1" customWidth="1"/>
    <col min="4364" max="4608" width="9" style="115"/>
    <col min="4609" max="4609" width="5" style="115" customWidth="1"/>
    <col min="4610" max="4610" width="13" style="115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6.69921875" style="115" customWidth="1"/>
    <col min="4615" max="4615" width="11.8984375" style="115" customWidth="1"/>
    <col min="4616" max="4616" width="13.59765625" style="115" customWidth="1"/>
    <col min="4617" max="4617" width="12.69921875" style="115" customWidth="1"/>
    <col min="4618" max="4618" width="9.19921875" style="115" customWidth="1"/>
    <col min="4619" max="4619" width="11.5" style="115" bestFit="1" customWidth="1"/>
    <col min="4620" max="4864" width="9" style="115"/>
    <col min="4865" max="4865" width="5" style="115" customWidth="1"/>
    <col min="4866" max="4866" width="13" style="115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6.69921875" style="115" customWidth="1"/>
    <col min="4871" max="4871" width="11.8984375" style="115" customWidth="1"/>
    <col min="4872" max="4872" width="13.59765625" style="115" customWidth="1"/>
    <col min="4873" max="4873" width="12.69921875" style="115" customWidth="1"/>
    <col min="4874" max="4874" width="9.19921875" style="115" customWidth="1"/>
    <col min="4875" max="4875" width="11.5" style="115" bestFit="1" customWidth="1"/>
    <col min="4876" max="5120" width="9" style="115"/>
    <col min="5121" max="5121" width="5" style="115" customWidth="1"/>
    <col min="5122" max="5122" width="13" style="115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6.69921875" style="115" customWidth="1"/>
    <col min="5127" max="5127" width="11.8984375" style="115" customWidth="1"/>
    <col min="5128" max="5128" width="13.59765625" style="115" customWidth="1"/>
    <col min="5129" max="5129" width="12.69921875" style="115" customWidth="1"/>
    <col min="5130" max="5130" width="9.19921875" style="115" customWidth="1"/>
    <col min="5131" max="5131" width="11.5" style="115" bestFit="1" customWidth="1"/>
    <col min="5132" max="5376" width="9" style="115"/>
    <col min="5377" max="5377" width="5" style="115" customWidth="1"/>
    <col min="5378" max="5378" width="13" style="115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6.69921875" style="115" customWidth="1"/>
    <col min="5383" max="5383" width="11.8984375" style="115" customWidth="1"/>
    <col min="5384" max="5384" width="13.59765625" style="115" customWidth="1"/>
    <col min="5385" max="5385" width="12.69921875" style="115" customWidth="1"/>
    <col min="5386" max="5386" width="9.19921875" style="115" customWidth="1"/>
    <col min="5387" max="5387" width="11.5" style="115" bestFit="1" customWidth="1"/>
    <col min="5388" max="5632" width="9" style="115"/>
    <col min="5633" max="5633" width="5" style="115" customWidth="1"/>
    <col min="5634" max="5634" width="13" style="115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6.69921875" style="115" customWidth="1"/>
    <col min="5639" max="5639" width="11.8984375" style="115" customWidth="1"/>
    <col min="5640" max="5640" width="13.59765625" style="115" customWidth="1"/>
    <col min="5641" max="5641" width="12.69921875" style="115" customWidth="1"/>
    <col min="5642" max="5642" width="9.19921875" style="115" customWidth="1"/>
    <col min="5643" max="5643" width="11.5" style="115" bestFit="1" customWidth="1"/>
    <col min="5644" max="5888" width="9" style="115"/>
    <col min="5889" max="5889" width="5" style="115" customWidth="1"/>
    <col min="5890" max="5890" width="13" style="115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6.69921875" style="115" customWidth="1"/>
    <col min="5895" max="5895" width="11.8984375" style="115" customWidth="1"/>
    <col min="5896" max="5896" width="13.59765625" style="115" customWidth="1"/>
    <col min="5897" max="5897" width="12.69921875" style="115" customWidth="1"/>
    <col min="5898" max="5898" width="9.19921875" style="115" customWidth="1"/>
    <col min="5899" max="5899" width="11.5" style="115" bestFit="1" customWidth="1"/>
    <col min="5900" max="6144" width="9" style="115"/>
    <col min="6145" max="6145" width="5" style="115" customWidth="1"/>
    <col min="6146" max="6146" width="13" style="115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6.69921875" style="115" customWidth="1"/>
    <col min="6151" max="6151" width="11.8984375" style="115" customWidth="1"/>
    <col min="6152" max="6152" width="13.59765625" style="115" customWidth="1"/>
    <col min="6153" max="6153" width="12.69921875" style="115" customWidth="1"/>
    <col min="6154" max="6154" width="9.19921875" style="115" customWidth="1"/>
    <col min="6155" max="6155" width="11.5" style="115" bestFit="1" customWidth="1"/>
    <col min="6156" max="6400" width="9" style="115"/>
    <col min="6401" max="6401" width="5" style="115" customWidth="1"/>
    <col min="6402" max="6402" width="13" style="115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6.69921875" style="115" customWidth="1"/>
    <col min="6407" max="6407" width="11.8984375" style="115" customWidth="1"/>
    <col min="6408" max="6408" width="13.59765625" style="115" customWidth="1"/>
    <col min="6409" max="6409" width="12.69921875" style="115" customWidth="1"/>
    <col min="6410" max="6410" width="9.19921875" style="115" customWidth="1"/>
    <col min="6411" max="6411" width="11.5" style="115" bestFit="1" customWidth="1"/>
    <col min="6412" max="6656" width="9" style="115"/>
    <col min="6657" max="6657" width="5" style="115" customWidth="1"/>
    <col min="6658" max="6658" width="13" style="115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6.69921875" style="115" customWidth="1"/>
    <col min="6663" max="6663" width="11.8984375" style="115" customWidth="1"/>
    <col min="6664" max="6664" width="13.59765625" style="115" customWidth="1"/>
    <col min="6665" max="6665" width="12.69921875" style="115" customWidth="1"/>
    <col min="6666" max="6666" width="9.19921875" style="115" customWidth="1"/>
    <col min="6667" max="6667" width="11.5" style="115" bestFit="1" customWidth="1"/>
    <col min="6668" max="6912" width="9" style="115"/>
    <col min="6913" max="6913" width="5" style="115" customWidth="1"/>
    <col min="6914" max="6914" width="13" style="115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6.69921875" style="115" customWidth="1"/>
    <col min="6919" max="6919" width="11.8984375" style="115" customWidth="1"/>
    <col min="6920" max="6920" width="13.59765625" style="115" customWidth="1"/>
    <col min="6921" max="6921" width="12.69921875" style="115" customWidth="1"/>
    <col min="6922" max="6922" width="9.19921875" style="115" customWidth="1"/>
    <col min="6923" max="6923" width="11.5" style="115" bestFit="1" customWidth="1"/>
    <col min="6924" max="7168" width="9" style="115"/>
    <col min="7169" max="7169" width="5" style="115" customWidth="1"/>
    <col min="7170" max="7170" width="13" style="115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6.69921875" style="115" customWidth="1"/>
    <col min="7175" max="7175" width="11.8984375" style="115" customWidth="1"/>
    <col min="7176" max="7176" width="13.59765625" style="115" customWidth="1"/>
    <col min="7177" max="7177" width="12.69921875" style="115" customWidth="1"/>
    <col min="7178" max="7178" width="9.19921875" style="115" customWidth="1"/>
    <col min="7179" max="7179" width="11.5" style="115" bestFit="1" customWidth="1"/>
    <col min="7180" max="7424" width="9" style="115"/>
    <col min="7425" max="7425" width="5" style="115" customWidth="1"/>
    <col min="7426" max="7426" width="13" style="115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6.69921875" style="115" customWidth="1"/>
    <col min="7431" max="7431" width="11.8984375" style="115" customWidth="1"/>
    <col min="7432" max="7432" width="13.59765625" style="115" customWidth="1"/>
    <col min="7433" max="7433" width="12.69921875" style="115" customWidth="1"/>
    <col min="7434" max="7434" width="9.19921875" style="115" customWidth="1"/>
    <col min="7435" max="7435" width="11.5" style="115" bestFit="1" customWidth="1"/>
    <col min="7436" max="7680" width="9" style="115"/>
    <col min="7681" max="7681" width="5" style="115" customWidth="1"/>
    <col min="7682" max="7682" width="13" style="115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6.69921875" style="115" customWidth="1"/>
    <col min="7687" max="7687" width="11.8984375" style="115" customWidth="1"/>
    <col min="7688" max="7688" width="13.59765625" style="115" customWidth="1"/>
    <col min="7689" max="7689" width="12.69921875" style="115" customWidth="1"/>
    <col min="7690" max="7690" width="9.19921875" style="115" customWidth="1"/>
    <col min="7691" max="7691" width="11.5" style="115" bestFit="1" customWidth="1"/>
    <col min="7692" max="7936" width="9" style="115"/>
    <col min="7937" max="7937" width="5" style="115" customWidth="1"/>
    <col min="7938" max="7938" width="13" style="115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6.69921875" style="115" customWidth="1"/>
    <col min="7943" max="7943" width="11.8984375" style="115" customWidth="1"/>
    <col min="7944" max="7944" width="13.59765625" style="115" customWidth="1"/>
    <col min="7945" max="7945" width="12.69921875" style="115" customWidth="1"/>
    <col min="7946" max="7946" width="9.19921875" style="115" customWidth="1"/>
    <col min="7947" max="7947" width="11.5" style="115" bestFit="1" customWidth="1"/>
    <col min="7948" max="8192" width="9" style="115"/>
    <col min="8193" max="8193" width="5" style="115" customWidth="1"/>
    <col min="8194" max="8194" width="13" style="115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6.69921875" style="115" customWidth="1"/>
    <col min="8199" max="8199" width="11.8984375" style="115" customWidth="1"/>
    <col min="8200" max="8200" width="13.59765625" style="115" customWidth="1"/>
    <col min="8201" max="8201" width="12.69921875" style="115" customWidth="1"/>
    <col min="8202" max="8202" width="9.19921875" style="115" customWidth="1"/>
    <col min="8203" max="8203" width="11.5" style="115" bestFit="1" customWidth="1"/>
    <col min="8204" max="8448" width="9" style="115"/>
    <col min="8449" max="8449" width="5" style="115" customWidth="1"/>
    <col min="8450" max="8450" width="13" style="115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6.69921875" style="115" customWidth="1"/>
    <col min="8455" max="8455" width="11.8984375" style="115" customWidth="1"/>
    <col min="8456" max="8456" width="13.59765625" style="115" customWidth="1"/>
    <col min="8457" max="8457" width="12.69921875" style="115" customWidth="1"/>
    <col min="8458" max="8458" width="9.19921875" style="115" customWidth="1"/>
    <col min="8459" max="8459" width="11.5" style="115" bestFit="1" customWidth="1"/>
    <col min="8460" max="8704" width="9" style="115"/>
    <col min="8705" max="8705" width="5" style="115" customWidth="1"/>
    <col min="8706" max="8706" width="13" style="115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6.69921875" style="115" customWidth="1"/>
    <col min="8711" max="8711" width="11.8984375" style="115" customWidth="1"/>
    <col min="8712" max="8712" width="13.59765625" style="115" customWidth="1"/>
    <col min="8713" max="8713" width="12.69921875" style="115" customWidth="1"/>
    <col min="8714" max="8714" width="9.19921875" style="115" customWidth="1"/>
    <col min="8715" max="8715" width="11.5" style="115" bestFit="1" customWidth="1"/>
    <col min="8716" max="8960" width="9" style="115"/>
    <col min="8961" max="8961" width="5" style="115" customWidth="1"/>
    <col min="8962" max="8962" width="13" style="115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6.69921875" style="115" customWidth="1"/>
    <col min="8967" max="8967" width="11.8984375" style="115" customWidth="1"/>
    <col min="8968" max="8968" width="13.59765625" style="115" customWidth="1"/>
    <col min="8969" max="8969" width="12.69921875" style="115" customWidth="1"/>
    <col min="8970" max="8970" width="9.19921875" style="115" customWidth="1"/>
    <col min="8971" max="8971" width="11.5" style="115" bestFit="1" customWidth="1"/>
    <col min="8972" max="9216" width="9" style="115"/>
    <col min="9217" max="9217" width="5" style="115" customWidth="1"/>
    <col min="9218" max="9218" width="13" style="115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6.69921875" style="115" customWidth="1"/>
    <col min="9223" max="9223" width="11.8984375" style="115" customWidth="1"/>
    <col min="9224" max="9224" width="13.59765625" style="115" customWidth="1"/>
    <col min="9225" max="9225" width="12.69921875" style="115" customWidth="1"/>
    <col min="9226" max="9226" width="9.19921875" style="115" customWidth="1"/>
    <col min="9227" max="9227" width="11.5" style="115" bestFit="1" customWidth="1"/>
    <col min="9228" max="9472" width="9" style="115"/>
    <col min="9473" max="9473" width="5" style="115" customWidth="1"/>
    <col min="9474" max="9474" width="13" style="115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6.69921875" style="115" customWidth="1"/>
    <col min="9479" max="9479" width="11.8984375" style="115" customWidth="1"/>
    <col min="9480" max="9480" width="13.59765625" style="115" customWidth="1"/>
    <col min="9481" max="9481" width="12.69921875" style="115" customWidth="1"/>
    <col min="9482" max="9482" width="9.19921875" style="115" customWidth="1"/>
    <col min="9483" max="9483" width="11.5" style="115" bestFit="1" customWidth="1"/>
    <col min="9484" max="9728" width="9" style="115"/>
    <col min="9729" max="9729" width="5" style="115" customWidth="1"/>
    <col min="9730" max="9730" width="13" style="115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6.69921875" style="115" customWidth="1"/>
    <col min="9735" max="9735" width="11.8984375" style="115" customWidth="1"/>
    <col min="9736" max="9736" width="13.59765625" style="115" customWidth="1"/>
    <col min="9737" max="9737" width="12.69921875" style="115" customWidth="1"/>
    <col min="9738" max="9738" width="9.19921875" style="115" customWidth="1"/>
    <col min="9739" max="9739" width="11.5" style="115" bestFit="1" customWidth="1"/>
    <col min="9740" max="9984" width="9" style="115"/>
    <col min="9985" max="9985" width="5" style="115" customWidth="1"/>
    <col min="9986" max="9986" width="13" style="115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6.69921875" style="115" customWidth="1"/>
    <col min="9991" max="9991" width="11.8984375" style="115" customWidth="1"/>
    <col min="9992" max="9992" width="13.59765625" style="115" customWidth="1"/>
    <col min="9993" max="9993" width="12.69921875" style="115" customWidth="1"/>
    <col min="9994" max="9994" width="9.19921875" style="115" customWidth="1"/>
    <col min="9995" max="9995" width="11.5" style="115" bestFit="1" customWidth="1"/>
    <col min="9996" max="10240" width="9" style="115"/>
    <col min="10241" max="10241" width="5" style="115" customWidth="1"/>
    <col min="10242" max="10242" width="13" style="115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6.69921875" style="115" customWidth="1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250" width="9.19921875" style="115" customWidth="1"/>
    <col min="10251" max="10251" width="11.5" style="115" bestFit="1" customWidth="1"/>
    <col min="10252" max="10496" width="9" style="115"/>
    <col min="10497" max="10497" width="5" style="115" customWidth="1"/>
    <col min="10498" max="10498" width="13" style="115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6.69921875" style="115" customWidth="1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506" width="9.19921875" style="115" customWidth="1"/>
    <col min="10507" max="10507" width="11.5" style="115" bestFit="1" customWidth="1"/>
    <col min="10508" max="10752" width="9" style="115"/>
    <col min="10753" max="10753" width="5" style="115" customWidth="1"/>
    <col min="10754" max="10754" width="13" style="115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6.69921875" style="115" customWidth="1"/>
    <col min="10759" max="10759" width="11.8984375" style="115" customWidth="1"/>
    <col min="10760" max="10760" width="13.59765625" style="115" customWidth="1"/>
    <col min="10761" max="10761" width="12.69921875" style="115" customWidth="1"/>
    <col min="10762" max="10762" width="9.19921875" style="115" customWidth="1"/>
    <col min="10763" max="10763" width="11.5" style="115" bestFit="1" customWidth="1"/>
    <col min="10764" max="11008" width="9" style="115"/>
    <col min="11009" max="11009" width="5" style="115" customWidth="1"/>
    <col min="11010" max="11010" width="13" style="115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6.69921875" style="115" customWidth="1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018" width="9.19921875" style="115" customWidth="1"/>
    <col min="11019" max="11019" width="11.5" style="115" bestFit="1" customWidth="1"/>
    <col min="11020" max="11264" width="9" style="115"/>
    <col min="11265" max="11265" width="5" style="115" customWidth="1"/>
    <col min="11266" max="11266" width="13" style="115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6.69921875" style="115" customWidth="1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274" width="9.19921875" style="115" customWidth="1"/>
    <col min="11275" max="11275" width="11.5" style="115" bestFit="1" customWidth="1"/>
    <col min="11276" max="11520" width="9" style="115"/>
    <col min="11521" max="11521" width="5" style="115" customWidth="1"/>
    <col min="11522" max="11522" width="13" style="115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6.69921875" style="115" customWidth="1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530" width="9.19921875" style="115" customWidth="1"/>
    <col min="11531" max="11531" width="11.5" style="115" bestFit="1" customWidth="1"/>
    <col min="11532" max="11776" width="9" style="115"/>
    <col min="11777" max="11777" width="5" style="115" customWidth="1"/>
    <col min="11778" max="11778" width="13" style="115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6.69921875" style="115" customWidth="1"/>
    <col min="11783" max="11783" width="11.8984375" style="115" customWidth="1"/>
    <col min="11784" max="11784" width="13.59765625" style="115" customWidth="1"/>
    <col min="11785" max="11785" width="12.69921875" style="115" customWidth="1"/>
    <col min="11786" max="11786" width="9.19921875" style="115" customWidth="1"/>
    <col min="11787" max="11787" width="11.5" style="115" bestFit="1" customWidth="1"/>
    <col min="11788" max="12032" width="9" style="115"/>
    <col min="12033" max="12033" width="5" style="115" customWidth="1"/>
    <col min="12034" max="12034" width="13" style="115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6.69921875" style="115" customWidth="1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042" width="9.19921875" style="115" customWidth="1"/>
    <col min="12043" max="12043" width="11.5" style="115" bestFit="1" customWidth="1"/>
    <col min="12044" max="12288" width="9" style="115"/>
    <col min="12289" max="12289" width="5" style="115" customWidth="1"/>
    <col min="12290" max="12290" width="13" style="115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6.69921875" style="115" customWidth="1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298" width="9.19921875" style="115" customWidth="1"/>
    <col min="12299" max="12299" width="11.5" style="115" bestFit="1" customWidth="1"/>
    <col min="12300" max="12544" width="9" style="115"/>
    <col min="12545" max="12545" width="5" style="115" customWidth="1"/>
    <col min="12546" max="12546" width="13" style="115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6.69921875" style="115" customWidth="1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554" width="9.19921875" style="115" customWidth="1"/>
    <col min="12555" max="12555" width="11.5" style="115" bestFit="1" customWidth="1"/>
    <col min="12556" max="12800" width="9" style="115"/>
    <col min="12801" max="12801" width="5" style="115" customWidth="1"/>
    <col min="12802" max="12802" width="13" style="115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6.69921875" style="115" customWidth="1"/>
    <col min="12807" max="12807" width="11.8984375" style="115" customWidth="1"/>
    <col min="12808" max="12808" width="13.59765625" style="115" customWidth="1"/>
    <col min="12809" max="12809" width="12.69921875" style="115" customWidth="1"/>
    <col min="12810" max="12810" width="9.19921875" style="115" customWidth="1"/>
    <col min="12811" max="12811" width="11.5" style="115" bestFit="1" customWidth="1"/>
    <col min="12812" max="13056" width="9" style="115"/>
    <col min="13057" max="13057" width="5" style="115" customWidth="1"/>
    <col min="13058" max="13058" width="13" style="115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6.69921875" style="115" customWidth="1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066" width="9.19921875" style="115" customWidth="1"/>
    <col min="13067" max="13067" width="11.5" style="115" bestFit="1" customWidth="1"/>
    <col min="13068" max="13312" width="9" style="115"/>
    <col min="13313" max="13313" width="5" style="115" customWidth="1"/>
    <col min="13314" max="13314" width="13" style="115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6.69921875" style="115" customWidth="1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322" width="9.19921875" style="115" customWidth="1"/>
    <col min="13323" max="13323" width="11.5" style="115" bestFit="1" customWidth="1"/>
    <col min="13324" max="13568" width="9" style="115"/>
    <col min="13569" max="13569" width="5" style="115" customWidth="1"/>
    <col min="13570" max="13570" width="13" style="115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6.69921875" style="115" customWidth="1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578" width="9.19921875" style="115" customWidth="1"/>
    <col min="13579" max="13579" width="11.5" style="115" bestFit="1" customWidth="1"/>
    <col min="13580" max="13824" width="9" style="115"/>
    <col min="13825" max="13825" width="5" style="115" customWidth="1"/>
    <col min="13826" max="13826" width="13" style="115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6.69921875" style="115" customWidth="1"/>
    <col min="13831" max="13831" width="11.8984375" style="115" customWidth="1"/>
    <col min="13832" max="13832" width="13.59765625" style="115" customWidth="1"/>
    <col min="13833" max="13833" width="12.69921875" style="115" customWidth="1"/>
    <col min="13834" max="13834" width="9.19921875" style="115" customWidth="1"/>
    <col min="13835" max="13835" width="11.5" style="115" bestFit="1" customWidth="1"/>
    <col min="13836" max="14080" width="9" style="115"/>
    <col min="14081" max="14081" width="5" style="115" customWidth="1"/>
    <col min="14082" max="14082" width="13" style="115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6.69921875" style="115" customWidth="1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090" width="9.19921875" style="115" customWidth="1"/>
    <col min="14091" max="14091" width="11.5" style="115" bestFit="1" customWidth="1"/>
    <col min="14092" max="14336" width="9" style="115"/>
    <col min="14337" max="14337" width="5" style="115" customWidth="1"/>
    <col min="14338" max="14338" width="13" style="115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6.69921875" style="115" customWidth="1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346" width="9.19921875" style="115" customWidth="1"/>
    <col min="14347" max="14347" width="11.5" style="115" bestFit="1" customWidth="1"/>
    <col min="14348" max="14592" width="9" style="115"/>
    <col min="14593" max="14593" width="5" style="115" customWidth="1"/>
    <col min="14594" max="14594" width="13" style="115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6.69921875" style="115" customWidth="1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602" width="9.19921875" style="115" customWidth="1"/>
    <col min="14603" max="14603" width="11.5" style="115" bestFit="1" customWidth="1"/>
    <col min="14604" max="14848" width="9" style="115"/>
    <col min="14849" max="14849" width="5" style="115" customWidth="1"/>
    <col min="14850" max="14850" width="13" style="115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6.69921875" style="115" customWidth="1"/>
    <col min="14855" max="14855" width="11.8984375" style="115" customWidth="1"/>
    <col min="14856" max="14856" width="13.59765625" style="115" customWidth="1"/>
    <col min="14857" max="14857" width="12.69921875" style="115" customWidth="1"/>
    <col min="14858" max="14858" width="9.19921875" style="115" customWidth="1"/>
    <col min="14859" max="14859" width="11.5" style="115" bestFit="1" customWidth="1"/>
    <col min="14860" max="15104" width="9" style="115"/>
    <col min="15105" max="15105" width="5" style="115" customWidth="1"/>
    <col min="15106" max="15106" width="13" style="115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6.69921875" style="115" customWidth="1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114" width="9.19921875" style="115" customWidth="1"/>
    <col min="15115" max="15115" width="11.5" style="115" bestFit="1" customWidth="1"/>
    <col min="15116" max="15360" width="9" style="115"/>
    <col min="15361" max="15361" width="5" style="115" customWidth="1"/>
    <col min="15362" max="15362" width="13" style="115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6.69921875" style="115" customWidth="1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370" width="9.19921875" style="115" customWidth="1"/>
    <col min="15371" max="15371" width="11.5" style="115" bestFit="1" customWidth="1"/>
    <col min="15372" max="15616" width="9" style="115"/>
    <col min="15617" max="15617" width="5" style="115" customWidth="1"/>
    <col min="15618" max="15618" width="13" style="115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6.69921875" style="115" customWidth="1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626" width="9.19921875" style="115" customWidth="1"/>
    <col min="15627" max="15627" width="11.5" style="115" bestFit="1" customWidth="1"/>
    <col min="15628" max="15872" width="9" style="115"/>
    <col min="15873" max="15873" width="5" style="115" customWidth="1"/>
    <col min="15874" max="15874" width="13" style="115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6.69921875" style="115" customWidth="1"/>
    <col min="15879" max="15879" width="11.8984375" style="115" customWidth="1"/>
    <col min="15880" max="15880" width="13.59765625" style="115" customWidth="1"/>
    <col min="15881" max="15881" width="12.69921875" style="115" customWidth="1"/>
    <col min="15882" max="15882" width="9.19921875" style="115" customWidth="1"/>
    <col min="15883" max="15883" width="11.5" style="115" bestFit="1" customWidth="1"/>
    <col min="15884" max="16128" width="9" style="115"/>
    <col min="16129" max="16129" width="5" style="115" customWidth="1"/>
    <col min="16130" max="16130" width="13" style="115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6.69921875" style="115" customWidth="1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138" width="9.19921875" style="115" customWidth="1"/>
    <col min="16139" max="16139" width="11.5" style="115" bestFit="1" customWidth="1"/>
    <col min="16140" max="16384" width="9" style="115"/>
  </cols>
  <sheetData>
    <row r="1" spans="1:9" ht="22.5" customHeight="1">
      <c r="B1" s="187" t="s">
        <v>113</v>
      </c>
      <c r="C1" s="188"/>
      <c r="F1" s="189"/>
      <c r="I1" s="115" t="s">
        <v>114</v>
      </c>
    </row>
    <row r="2" spans="1:9" s="121" customFormat="1" ht="16.5" customHeight="1">
      <c r="A2" s="431" t="s">
        <v>115</v>
      </c>
      <c r="B2" s="525"/>
      <c r="C2" s="190" t="s">
        <v>116</v>
      </c>
      <c r="D2" s="191" t="s">
        <v>117</v>
      </c>
      <c r="E2" s="191" t="s">
        <v>36</v>
      </c>
      <c r="F2" s="192" t="s">
        <v>37</v>
      </c>
      <c r="G2" s="192" t="s">
        <v>118</v>
      </c>
      <c r="H2" s="192" t="s">
        <v>119</v>
      </c>
      <c r="I2" s="191" t="s">
        <v>120</v>
      </c>
    </row>
    <row r="3" spans="1:9" ht="15.9" customHeight="1">
      <c r="A3" s="526" t="s">
        <v>121</v>
      </c>
      <c r="B3" s="193" t="s">
        <v>122</v>
      </c>
      <c r="C3" s="364" t="s">
        <v>326</v>
      </c>
      <c r="D3" s="194"/>
      <c r="E3" s="195" t="s">
        <v>169</v>
      </c>
      <c r="F3" s="196">
        <v>8</v>
      </c>
      <c r="G3" s="197">
        <v>8000000</v>
      </c>
      <c r="H3" s="198">
        <f t="shared" ref="H3:H10" si="0">IF(F3=0,G3,G3*F3)</f>
        <v>64000000</v>
      </c>
      <c r="I3" s="366" t="s">
        <v>222</v>
      </c>
    </row>
    <row r="4" spans="1:9" ht="15.9" customHeight="1">
      <c r="A4" s="527"/>
      <c r="B4" s="193"/>
      <c r="C4" s="365" t="s">
        <v>327</v>
      </c>
      <c r="D4" s="194"/>
      <c r="E4" s="195" t="s">
        <v>167</v>
      </c>
      <c r="F4" s="196">
        <v>36</v>
      </c>
      <c r="G4" s="197">
        <v>400000</v>
      </c>
      <c r="H4" s="160">
        <f t="shared" si="0"/>
        <v>14400000</v>
      </c>
      <c r="I4" s="272" t="s">
        <v>222</v>
      </c>
    </row>
    <row r="5" spans="1:9" ht="15.9" customHeight="1">
      <c r="A5" s="527"/>
      <c r="B5" s="193"/>
      <c r="C5" s="365" t="s">
        <v>328</v>
      </c>
      <c r="D5" s="194"/>
      <c r="E5" s="195" t="s">
        <v>167</v>
      </c>
      <c r="F5" s="196">
        <v>8</v>
      </c>
      <c r="G5" s="197">
        <v>3000000</v>
      </c>
      <c r="H5" s="160">
        <f t="shared" si="0"/>
        <v>24000000</v>
      </c>
      <c r="I5" s="272" t="s">
        <v>222</v>
      </c>
    </row>
    <row r="6" spans="1:9" ht="15.9" customHeight="1">
      <c r="A6" s="527"/>
      <c r="B6" s="193"/>
      <c r="C6" s="200" t="s">
        <v>329</v>
      </c>
      <c r="D6" s="194"/>
      <c r="E6" s="195" t="s">
        <v>167</v>
      </c>
      <c r="F6" s="196">
        <v>8</v>
      </c>
      <c r="G6" s="197">
        <v>1000000</v>
      </c>
      <c r="H6" s="160">
        <f t="shared" si="0"/>
        <v>8000000</v>
      </c>
      <c r="I6" s="272" t="s">
        <v>222</v>
      </c>
    </row>
    <row r="7" spans="1:9" ht="15.9" customHeight="1">
      <c r="A7" s="527"/>
      <c r="B7" s="193"/>
      <c r="C7" s="365" t="s">
        <v>330</v>
      </c>
      <c r="D7" s="194"/>
      <c r="E7" s="195" t="s">
        <v>167</v>
      </c>
      <c r="F7" s="196">
        <v>1</v>
      </c>
      <c r="G7" s="197">
        <v>20000000</v>
      </c>
      <c r="H7" s="160">
        <f t="shared" si="0"/>
        <v>20000000</v>
      </c>
      <c r="I7" s="272" t="s">
        <v>222</v>
      </c>
    </row>
    <row r="8" spans="1:9" ht="15.9" customHeight="1">
      <c r="A8" s="527"/>
      <c r="B8" s="193"/>
      <c r="C8" s="200"/>
      <c r="D8" s="194"/>
      <c r="E8" s="195"/>
      <c r="F8" s="196"/>
      <c r="G8" s="197"/>
      <c r="H8" s="160">
        <f t="shared" si="0"/>
        <v>0</v>
      </c>
      <c r="I8" s="25"/>
    </row>
    <row r="9" spans="1:9" ht="15.9" customHeight="1">
      <c r="A9" s="527"/>
      <c r="B9" s="193"/>
      <c r="C9" s="200"/>
      <c r="D9" s="200"/>
      <c r="E9" s="201"/>
      <c r="F9" s="202"/>
      <c r="G9" s="203"/>
      <c r="H9" s="160">
        <f t="shared" si="0"/>
        <v>0</v>
      </c>
      <c r="I9" s="25"/>
    </row>
    <row r="10" spans="1:9" ht="15.9" customHeight="1">
      <c r="A10" s="527"/>
      <c r="B10" s="193"/>
      <c r="C10" s="204"/>
      <c r="D10" s="204"/>
      <c r="E10" s="205"/>
      <c r="F10" s="206"/>
      <c r="G10" s="207"/>
      <c r="H10" s="160">
        <f t="shared" si="0"/>
        <v>0</v>
      </c>
      <c r="I10" s="208"/>
    </row>
    <row r="11" spans="1:9" ht="15.9" customHeight="1">
      <c r="A11" s="527"/>
      <c r="B11" s="209"/>
      <c r="C11" s="210"/>
      <c r="D11" s="211"/>
      <c r="E11" s="190"/>
      <c r="F11" s="212"/>
      <c r="G11" s="213"/>
      <c r="H11" s="214">
        <f>SUM(H3:H10)</f>
        <v>130400000</v>
      </c>
      <c r="I11" s="215"/>
    </row>
    <row r="12" spans="1:9" ht="15.9" customHeight="1">
      <c r="A12" s="527"/>
      <c r="B12" s="216" t="s">
        <v>123</v>
      </c>
      <c r="C12" s="217"/>
      <c r="D12" s="217"/>
      <c r="E12" s="218"/>
      <c r="F12" s="219"/>
      <c r="G12" s="220"/>
      <c r="H12" s="221">
        <f t="shared" ref="H12:H49" si="1">IF(F12=0,G12,G12*F12)</f>
        <v>0</v>
      </c>
      <c r="I12" s="222"/>
    </row>
    <row r="13" spans="1:9" ht="15.9" customHeight="1">
      <c r="A13" s="527"/>
      <c r="B13" s="223" t="s">
        <v>124</v>
      </c>
      <c r="C13" s="200"/>
      <c r="D13" s="200"/>
      <c r="E13" s="201"/>
      <c r="F13" s="202"/>
      <c r="G13" s="203"/>
      <c r="H13" s="160">
        <f t="shared" si="1"/>
        <v>0</v>
      </c>
      <c r="I13" s="25"/>
    </row>
    <row r="14" spans="1:9" ht="15.9" customHeight="1">
      <c r="A14" s="527"/>
      <c r="B14" s="223" t="s">
        <v>125</v>
      </c>
      <c r="C14" s="200"/>
      <c r="D14" s="200"/>
      <c r="E14" s="201"/>
      <c r="F14" s="202"/>
      <c r="G14" s="203"/>
      <c r="H14" s="160">
        <f t="shared" si="1"/>
        <v>0</v>
      </c>
      <c r="I14" s="25"/>
    </row>
    <row r="15" spans="1:9" ht="15.9" customHeight="1">
      <c r="A15" s="527"/>
      <c r="B15" s="193"/>
      <c r="C15" s="200"/>
      <c r="D15" s="200"/>
      <c r="E15" s="201"/>
      <c r="F15" s="202"/>
      <c r="G15" s="203"/>
      <c r="H15" s="160">
        <f t="shared" si="1"/>
        <v>0</v>
      </c>
      <c r="I15" s="25"/>
    </row>
    <row r="16" spans="1:9" ht="15.9" customHeight="1">
      <c r="A16" s="527"/>
      <c r="B16" s="193"/>
      <c r="C16" s="200"/>
      <c r="D16" s="200"/>
      <c r="E16" s="201"/>
      <c r="F16" s="202"/>
      <c r="G16" s="203"/>
      <c r="H16" s="160">
        <f t="shared" si="1"/>
        <v>0</v>
      </c>
      <c r="I16" s="25"/>
    </row>
    <row r="17" spans="1:9" ht="15.9" customHeight="1">
      <c r="A17" s="527"/>
      <c r="B17" s="193"/>
      <c r="C17" s="204" t="s">
        <v>126</v>
      </c>
      <c r="D17" s="224"/>
      <c r="E17" s="205" t="s">
        <v>127</v>
      </c>
      <c r="F17" s="225"/>
      <c r="G17" s="226"/>
      <c r="H17" s="227">
        <f t="shared" si="1"/>
        <v>0</v>
      </c>
      <c r="I17" s="228"/>
    </row>
    <row r="18" spans="1:9" ht="15.9" customHeight="1">
      <c r="A18" s="527"/>
      <c r="B18" s="193"/>
      <c r="C18" s="229"/>
      <c r="D18" s="230"/>
      <c r="E18" s="231"/>
      <c r="F18" s="232"/>
      <c r="G18" s="233"/>
      <c r="H18" s="234">
        <f>SUM(H12:H17)</f>
        <v>0</v>
      </c>
      <c r="I18" s="235"/>
    </row>
    <row r="19" spans="1:9" ht="15.9" customHeight="1">
      <c r="A19" s="527"/>
      <c r="B19" s="236" t="s">
        <v>128</v>
      </c>
      <c r="C19" s="200" t="s">
        <v>200</v>
      </c>
      <c r="D19" s="200" t="s">
        <v>299</v>
      </c>
      <c r="E19" s="201" t="s">
        <v>167</v>
      </c>
      <c r="F19" s="202">
        <v>8</v>
      </c>
      <c r="G19" s="203">
        <v>5300000</v>
      </c>
      <c r="H19" s="221">
        <f>IF(F19=0,G19,G19*F19)</f>
        <v>42400000</v>
      </c>
      <c r="I19" s="222" t="s">
        <v>302</v>
      </c>
    </row>
    <row r="20" spans="1:9" ht="15.9" customHeight="1">
      <c r="A20" s="527"/>
      <c r="B20" s="193"/>
      <c r="C20" s="200" t="s">
        <v>301</v>
      </c>
      <c r="D20" s="200" t="s">
        <v>300</v>
      </c>
      <c r="E20" s="201" t="s">
        <v>167</v>
      </c>
      <c r="F20" s="202">
        <v>8</v>
      </c>
      <c r="G20" s="203">
        <v>600000</v>
      </c>
      <c r="H20" s="160">
        <f t="shared" si="1"/>
        <v>4800000</v>
      </c>
      <c r="I20" s="25" t="s">
        <v>302</v>
      </c>
    </row>
    <row r="21" spans="1:9" ht="15.9" customHeight="1">
      <c r="A21" s="527"/>
      <c r="B21" s="193"/>
      <c r="C21" s="200" t="s">
        <v>303</v>
      </c>
      <c r="D21" s="200" t="s">
        <v>304</v>
      </c>
      <c r="E21" s="201" t="s">
        <v>167</v>
      </c>
      <c r="F21" s="202">
        <v>8</v>
      </c>
      <c r="G21" s="203">
        <v>2200000</v>
      </c>
      <c r="H21" s="160">
        <f t="shared" si="1"/>
        <v>17600000</v>
      </c>
      <c r="I21" s="25" t="s">
        <v>302</v>
      </c>
    </row>
    <row r="22" spans="1:9" ht="15.9" customHeight="1">
      <c r="A22" s="527"/>
      <c r="B22" s="193"/>
      <c r="C22" s="200" t="s">
        <v>305</v>
      </c>
      <c r="D22" s="200" t="s">
        <v>306</v>
      </c>
      <c r="E22" s="201" t="s">
        <v>167</v>
      </c>
      <c r="F22" s="202">
        <v>8</v>
      </c>
      <c r="G22" s="203">
        <v>100000</v>
      </c>
      <c r="H22" s="160">
        <f t="shared" si="1"/>
        <v>800000</v>
      </c>
      <c r="I22" s="25" t="s">
        <v>302</v>
      </c>
    </row>
    <row r="23" spans="1:9" ht="15.9" customHeight="1">
      <c r="A23" s="527"/>
      <c r="B23" s="193"/>
      <c r="C23" s="200" t="s">
        <v>307</v>
      </c>
      <c r="D23" s="200" t="s">
        <v>308</v>
      </c>
      <c r="E23" s="201" t="s">
        <v>167</v>
      </c>
      <c r="F23" s="202">
        <v>11</v>
      </c>
      <c r="G23" s="203">
        <v>700000</v>
      </c>
      <c r="H23" s="160">
        <f t="shared" si="1"/>
        <v>7700000</v>
      </c>
      <c r="I23" s="25" t="s">
        <v>302</v>
      </c>
    </row>
    <row r="24" spans="1:9" ht="15.9" customHeight="1">
      <c r="A24" s="527"/>
      <c r="B24" s="193"/>
      <c r="C24" s="200" t="s">
        <v>201</v>
      </c>
      <c r="D24" s="200" t="s">
        <v>309</v>
      </c>
      <c r="E24" s="201" t="s">
        <v>167</v>
      </c>
      <c r="F24" s="202">
        <f>SUM(F4)</f>
        <v>36</v>
      </c>
      <c r="G24" s="203">
        <v>2100000</v>
      </c>
      <c r="H24" s="160">
        <f t="shared" si="1"/>
        <v>75600000</v>
      </c>
      <c r="I24" s="25" t="s">
        <v>302</v>
      </c>
    </row>
    <row r="25" spans="1:9" ht="15.9" customHeight="1">
      <c r="A25" s="527"/>
      <c r="B25" s="193"/>
      <c r="C25" s="200" t="s">
        <v>310</v>
      </c>
      <c r="D25" s="200" t="s">
        <v>311</v>
      </c>
      <c r="E25" s="201" t="s">
        <v>167</v>
      </c>
      <c r="F25" s="202">
        <v>20</v>
      </c>
      <c r="G25" s="203">
        <v>600000</v>
      </c>
      <c r="H25" s="160">
        <f t="shared" si="1"/>
        <v>12000000</v>
      </c>
      <c r="I25" s="25" t="s">
        <v>302</v>
      </c>
    </row>
    <row r="26" spans="1:9" ht="15.9" customHeight="1">
      <c r="A26" s="527"/>
      <c r="B26" s="193"/>
      <c r="C26" s="200" t="s">
        <v>315</v>
      </c>
      <c r="D26" s="200" t="s">
        <v>312</v>
      </c>
      <c r="E26" s="201" t="s">
        <v>167</v>
      </c>
      <c r="F26" s="202">
        <v>75</v>
      </c>
      <c r="G26" s="203">
        <v>320000</v>
      </c>
      <c r="H26" s="160">
        <f t="shared" si="1"/>
        <v>24000000</v>
      </c>
      <c r="I26" s="25" t="s">
        <v>302</v>
      </c>
    </row>
    <row r="27" spans="1:9" ht="15.9" customHeight="1">
      <c r="A27" s="527"/>
      <c r="B27" s="193"/>
      <c r="C27" s="200" t="s">
        <v>314</v>
      </c>
      <c r="D27" s="200" t="s">
        <v>313</v>
      </c>
      <c r="E27" s="201" t="s">
        <v>167</v>
      </c>
      <c r="F27" s="202">
        <v>8</v>
      </c>
      <c r="G27" s="203">
        <v>200000</v>
      </c>
      <c r="H27" s="160">
        <f t="shared" si="1"/>
        <v>1600000</v>
      </c>
      <c r="I27" s="25" t="s">
        <v>302</v>
      </c>
    </row>
    <row r="28" spans="1:9" ht="15.9" customHeight="1">
      <c r="A28" s="527"/>
      <c r="B28" s="193"/>
      <c r="C28" s="200" t="s">
        <v>316</v>
      </c>
      <c r="D28" s="200" t="s">
        <v>317</v>
      </c>
      <c r="E28" s="201" t="s">
        <v>167</v>
      </c>
      <c r="F28" s="202">
        <v>20</v>
      </c>
      <c r="G28" s="203">
        <v>280000</v>
      </c>
      <c r="H28" s="160">
        <f t="shared" si="1"/>
        <v>5600000</v>
      </c>
      <c r="I28" s="25" t="s">
        <v>302</v>
      </c>
    </row>
    <row r="29" spans="1:9" ht="15.9" customHeight="1">
      <c r="A29" s="527"/>
      <c r="B29" s="193"/>
      <c r="C29" s="200" t="s">
        <v>318</v>
      </c>
      <c r="D29" s="200" t="s">
        <v>319</v>
      </c>
      <c r="E29" s="201" t="s">
        <v>167</v>
      </c>
      <c r="F29" s="202">
        <v>40</v>
      </c>
      <c r="G29" s="203">
        <v>50000</v>
      </c>
      <c r="H29" s="160">
        <f t="shared" si="1"/>
        <v>2000000</v>
      </c>
      <c r="I29" s="25" t="s">
        <v>302</v>
      </c>
    </row>
    <row r="30" spans="1:9" ht="15.9" customHeight="1">
      <c r="A30" s="527"/>
      <c r="B30" s="193"/>
      <c r="C30" s="200" t="s">
        <v>320</v>
      </c>
      <c r="D30" s="200" t="s">
        <v>321</v>
      </c>
      <c r="E30" s="201" t="s">
        <v>167</v>
      </c>
      <c r="F30" s="202">
        <v>6</v>
      </c>
      <c r="G30" s="203">
        <v>950000</v>
      </c>
      <c r="H30" s="160">
        <f t="shared" si="1"/>
        <v>5700000</v>
      </c>
      <c r="I30" s="25" t="s">
        <v>302</v>
      </c>
    </row>
    <row r="31" spans="1:9" ht="15.9" customHeight="1">
      <c r="A31" s="527"/>
      <c r="B31" s="193"/>
      <c r="C31" s="200" t="s">
        <v>322</v>
      </c>
      <c r="D31" s="200" t="s">
        <v>323</v>
      </c>
      <c r="E31" s="201" t="s">
        <v>167</v>
      </c>
      <c r="F31" s="202">
        <v>11</v>
      </c>
      <c r="G31" s="203">
        <v>1100000</v>
      </c>
      <c r="H31" s="160">
        <f t="shared" si="1"/>
        <v>12100000</v>
      </c>
      <c r="I31" s="25" t="s">
        <v>302</v>
      </c>
    </row>
    <row r="32" spans="1:9" ht="15.9" customHeight="1">
      <c r="A32" s="527"/>
      <c r="B32" s="193"/>
      <c r="C32" s="200" t="s">
        <v>324</v>
      </c>
      <c r="D32" s="200" t="s">
        <v>325</v>
      </c>
      <c r="E32" s="201" t="s">
        <v>167</v>
      </c>
      <c r="F32" s="202">
        <v>26</v>
      </c>
      <c r="G32" s="203">
        <v>1300000</v>
      </c>
      <c r="H32" s="160">
        <f t="shared" si="1"/>
        <v>33800000</v>
      </c>
      <c r="I32" s="25" t="s">
        <v>302</v>
      </c>
    </row>
    <row r="33" spans="1:9" ht="15.9" customHeight="1">
      <c r="A33" s="527"/>
      <c r="B33" s="193"/>
      <c r="C33" s="200" t="s">
        <v>229</v>
      </c>
      <c r="D33" s="367" t="s">
        <v>331</v>
      </c>
      <c r="E33" s="201" t="s">
        <v>167</v>
      </c>
      <c r="F33" s="202">
        <v>8</v>
      </c>
      <c r="G33" s="203">
        <v>2500000</v>
      </c>
      <c r="H33" s="160">
        <f t="shared" si="1"/>
        <v>20000000</v>
      </c>
      <c r="I33" s="25" t="s">
        <v>332</v>
      </c>
    </row>
    <row r="34" spans="1:9" ht="15.9" customHeight="1">
      <c r="A34" s="527"/>
      <c r="B34" s="193"/>
      <c r="C34" s="200"/>
      <c r="D34" s="200"/>
      <c r="E34" s="201"/>
      <c r="F34" s="202"/>
      <c r="G34" s="203"/>
      <c r="H34" s="160">
        <f t="shared" si="1"/>
        <v>0</v>
      </c>
      <c r="I34" s="25"/>
    </row>
    <row r="35" spans="1:9" ht="15.9" customHeight="1">
      <c r="A35" s="527"/>
      <c r="B35" s="193"/>
      <c r="C35" s="200"/>
      <c r="D35" s="200"/>
      <c r="E35" s="201"/>
      <c r="F35" s="202"/>
      <c r="G35" s="203"/>
      <c r="H35" s="160">
        <f t="shared" si="1"/>
        <v>0</v>
      </c>
      <c r="I35" s="25"/>
    </row>
    <row r="36" spans="1:9" ht="15.9" customHeight="1">
      <c r="A36" s="527"/>
      <c r="B36" s="193"/>
      <c r="C36" s="200"/>
      <c r="D36" s="200"/>
      <c r="E36" s="201"/>
      <c r="F36" s="202"/>
      <c r="G36" s="203"/>
      <c r="H36" s="160">
        <f t="shared" si="1"/>
        <v>0</v>
      </c>
      <c r="I36" s="25"/>
    </row>
    <row r="37" spans="1:9" ht="15.9" customHeight="1">
      <c r="A37" s="527"/>
      <c r="B37" s="193"/>
      <c r="C37" s="200"/>
      <c r="D37" s="200"/>
      <c r="E37" s="201"/>
      <c r="F37" s="202"/>
      <c r="G37" s="203"/>
      <c r="H37" s="160">
        <f t="shared" si="1"/>
        <v>0</v>
      </c>
      <c r="I37" s="25"/>
    </row>
    <row r="38" spans="1:9" ht="15.9" customHeight="1">
      <c r="A38" s="527"/>
      <c r="B38" s="193"/>
      <c r="C38" s="200"/>
      <c r="D38" s="200"/>
      <c r="E38" s="201"/>
      <c r="F38" s="202"/>
      <c r="G38" s="203"/>
      <c r="H38" s="160">
        <f t="shared" si="1"/>
        <v>0</v>
      </c>
      <c r="I38" s="25"/>
    </row>
    <row r="39" spans="1:9" ht="15.9" customHeight="1">
      <c r="A39" s="527"/>
      <c r="B39" s="193"/>
      <c r="C39" s="200"/>
      <c r="D39" s="200"/>
      <c r="E39" s="201"/>
      <c r="F39" s="202"/>
      <c r="G39" s="203"/>
      <c r="H39" s="160">
        <f t="shared" si="1"/>
        <v>0</v>
      </c>
      <c r="I39" s="25"/>
    </row>
    <row r="40" spans="1:9" ht="15.9" customHeight="1">
      <c r="A40" s="527"/>
      <c r="B40" s="193"/>
      <c r="C40" s="200"/>
      <c r="D40" s="200"/>
      <c r="E40" s="201"/>
      <c r="F40" s="202"/>
      <c r="G40" s="203"/>
      <c r="H40" s="160">
        <f t="shared" si="1"/>
        <v>0</v>
      </c>
      <c r="I40" s="25"/>
    </row>
    <row r="41" spans="1:9" ht="15.9" customHeight="1">
      <c r="A41" s="527"/>
      <c r="B41" s="193"/>
      <c r="C41" s="204"/>
      <c r="D41" s="204"/>
      <c r="E41" s="205"/>
      <c r="F41" s="206"/>
      <c r="G41" s="207"/>
      <c r="H41" s="227">
        <f t="shared" si="1"/>
        <v>0</v>
      </c>
      <c r="I41" s="228"/>
    </row>
    <row r="42" spans="1:9" ht="15.9" customHeight="1">
      <c r="A42" s="527"/>
      <c r="B42" s="209"/>
      <c r="C42" s="239"/>
      <c r="D42" s="215"/>
      <c r="E42" s="215"/>
      <c r="F42" s="214"/>
      <c r="G42" s="214"/>
      <c r="H42" s="214">
        <f>SUM(H19:H41)</f>
        <v>265700000</v>
      </c>
      <c r="I42" s="215"/>
    </row>
    <row r="43" spans="1:9" ht="15.9" customHeight="1">
      <c r="A43" s="527"/>
      <c r="B43" s="236" t="s">
        <v>49</v>
      </c>
      <c r="C43" s="200" t="s">
        <v>298</v>
      </c>
      <c r="D43" s="264"/>
      <c r="E43" s="264" t="s">
        <v>47</v>
      </c>
      <c r="F43" s="268">
        <v>1</v>
      </c>
      <c r="G43" s="203">
        <v>350000000</v>
      </c>
      <c r="H43" s="160">
        <f t="shared" si="1"/>
        <v>350000000</v>
      </c>
      <c r="I43" s="222" t="s">
        <v>345</v>
      </c>
    </row>
    <row r="44" spans="1:9" ht="15.9" customHeight="1">
      <c r="A44" s="527"/>
      <c r="B44" s="193"/>
      <c r="C44" s="200"/>
      <c r="D44" s="264"/>
      <c r="E44" s="264"/>
      <c r="F44" s="268"/>
      <c r="G44" s="203"/>
      <c r="H44" s="160"/>
      <c r="I44" s="25"/>
    </row>
    <row r="45" spans="1:9" ht="15.9" customHeight="1">
      <c r="A45" s="527"/>
      <c r="B45" s="193"/>
      <c r="C45" s="200"/>
      <c r="D45" s="200"/>
      <c r="E45" s="201"/>
      <c r="F45" s="202"/>
      <c r="G45" s="203"/>
      <c r="H45" s="160">
        <f t="shared" si="1"/>
        <v>0</v>
      </c>
      <c r="I45" s="25"/>
    </row>
    <row r="46" spans="1:9" ht="15.9" customHeight="1">
      <c r="A46" s="527"/>
      <c r="B46" s="193"/>
      <c r="C46" s="200"/>
      <c r="D46" s="200"/>
      <c r="E46" s="201"/>
      <c r="F46" s="202"/>
      <c r="G46" s="203"/>
      <c r="H46" s="160">
        <f t="shared" si="1"/>
        <v>0</v>
      </c>
      <c r="I46" s="25"/>
    </row>
    <row r="47" spans="1:9" ht="15.9" customHeight="1">
      <c r="A47" s="527"/>
      <c r="B47" s="193"/>
      <c r="C47" s="200"/>
      <c r="D47" s="200"/>
      <c r="E47" s="201"/>
      <c r="F47" s="202"/>
      <c r="G47" s="203"/>
      <c r="H47" s="160">
        <f t="shared" si="1"/>
        <v>0</v>
      </c>
      <c r="I47" s="25"/>
    </row>
    <row r="48" spans="1:9" ht="15.9" customHeight="1">
      <c r="A48" s="527"/>
      <c r="B48" s="193"/>
      <c r="C48" s="200"/>
      <c r="D48" s="200"/>
      <c r="E48" s="201"/>
      <c r="F48" s="202"/>
      <c r="G48" s="203"/>
      <c r="H48" s="160">
        <f t="shared" si="1"/>
        <v>0</v>
      </c>
      <c r="I48" s="25"/>
    </row>
    <row r="49" spans="1:11" ht="15.9" customHeight="1">
      <c r="A49" s="527"/>
      <c r="B49" s="193"/>
      <c r="C49" s="204"/>
      <c r="D49" s="204"/>
      <c r="E49" s="205"/>
      <c r="F49" s="206"/>
      <c r="G49" s="207"/>
      <c r="H49" s="161">
        <f t="shared" si="1"/>
        <v>0</v>
      </c>
      <c r="I49" s="208"/>
    </row>
    <row r="50" spans="1:11" ht="15.9" customHeight="1">
      <c r="A50" s="527"/>
      <c r="B50" s="209"/>
      <c r="C50" s="210"/>
      <c r="D50" s="211"/>
      <c r="E50" s="190"/>
      <c r="F50" s="212"/>
      <c r="G50" s="213"/>
      <c r="H50" s="214">
        <f>SUM(H43:H49)</f>
        <v>350000000</v>
      </c>
      <c r="I50" s="215"/>
    </row>
    <row r="51" spans="1:11" ht="15.9" customHeight="1">
      <c r="A51" s="237"/>
      <c r="B51" s="238" t="s">
        <v>129</v>
      </c>
      <c r="C51" s="239"/>
      <c r="D51" s="215"/>
      <c r="E51" s="191"/>
      <c r="F51" s="240"/>
      <c r="G51" s="241"/>
      <c r="H51" s="214">
        <f>SUM(H50,H42,H11,H18)</f>
        <v>746100000</v>
      </c>
      <c r="I51" s="215"/>
    </row>
    <row r="52" spans="1:11" ht="15.9" customHeight="1">
      <c r="A52" s="528" t="s">
        <v>130</v>
      </c>
      <c r="B52" s="242" t="s">
        <v>55</v>
      </c>
      <c r="C52" s="239"/>
      <c r="D52" s="215"/>
      <c r="E52" s="243" t="s">
        <v>56</v>
      </c>
      <c r="F52" s="244"/>
      <c r="G52" s="245"/>
      <c r="H52" s="246">
        <f t="shared" ref="H52:H58" si="2">F52*G52</f>
        <v>0</v>
      </c>
      <c r="I52" s="215"/>
    </row>
    <row r="53" spans="1:11" ht="15.9" customHeight="1">
      <c r="A53" s="529"/>
      <c r="B53" s="247" t="s">
        <v>131</v>
      </c>
      <c r="C53" s="248"/>
      <c r="D53" s="222"/>
      <c r="E53" s="249" t="s">
        <v>132</v>
      </c>
      <c r="F53" s="218"/>
      <c r="G53" s="220"/>
      <c r="H53" s="221">
        <f t="shared" si="2"/>
        <v>0</v>
      </c>
      <c r="I53" s="222"/>
    </row>
    <row r="54" spans="1:11" ht="15.9" customHeight="1">
      <c r="A54" s="529"/>
      <c r="B54" s="250" t="s">
        <v>133</v>
      </c>
      <c r="C54" s="251"/>
      <c r="D54" s="25"/>
      <c r="E54" s="252" t="s">
        <v>132</v>
      </c>
      <c r="F54" s="196"/>
      <c r="G54" s="203"/>
      <c r="H54" s="160">
        <f t="shared" si="2"/>
        <v>0</v>
      </c>
      <c r="I54" s="25"/>
    </row>
    <row r="55" spans="1:11" ht="15.9" customHeight="1">
      <c r="A55" s="529"/>
      <c r="B55" s="250" t="s">
        <v>134</v>
      </c>
      <c r="C55" s="251"/>
      <c r="D55" s="25"/>
      <c r="E55" s="252" t="s">
        <v>132</v>
      </c>
      <c r="F55" s="202"/>
      <c r="G55" s="203"/>
      <c r="H55" s="160">
        <f>F55*G55</f>
        <v>0</v>
      </c>
      <c r="I55" s="25"/>
    </row>
    <row r="56" spans="1:11" ht="15.9" customHeight="1">
      <c r="A56" s="529"/>
      <c r="B56" s="250" t="s">
        <v>135</v>
      </c>
      <c r="C56" s="251"/>
      <c r="D56" s="25"/>
      <c r="E56" s="252" t="s">
        <v>132</v>
      </c>
      <c r="F56" s="202"/>
      <c r="G56" s="203"/>
      <c r="H56" s="160">
        <f t="shared" si="2"/>
        <v>0</v>
      </c>
      <c r="I56" s="25"/>
    </row>
    <row r="57" spans="1:11" ht="15.9" customHeight="1">
      <c r="A57" s="529"/>
      <c r="B57" s="250" t="s">
        <v>136</v>
      </c>
      <c r="C57" s="251"/>
      <c r="D57" s="25"/>
      <c r="E57" s="252" t="s">
        <v>132</v>
      </c>
      <c r="F57" s="225"/>
      <c r="G57" s="226"/>
      <c r="H57" s="160">
        <f t="shared" si="2"/>
        <v>0</v>
      </c>
      <c r="I57" s="25"/>
    </row>
    <row r="58" spans="1:11" ht="15.9" customHeight="1">
      <c r="A58" s="529"/>
      <c r="B58" s="253" t="s">
        <v>137</v>
      </c>
      <c r="C58" s="254"/>
      <c r="D58" s="208"/>
      <c r="E58" s="255" t="s">
        <v>132</v>
      </c>
      <c r="F58" s="206"/>
      <c r="G58" s="207"/>
      <c r="H58" s="161">
        <f t="shared" si="2"/>
        <v>0</v>
      </c>
      <c r="I58" s="208"/>
    </row>
    <row r="59" spans="1:11" ht="15.9" customHeight="1">
      <c r="A59" s="237"/>
      <c r="B59" s="256" t="s">
        <v>138</v>
      </c>
      <c r="C59" s="239"/>
      <c r="D59" s="215"/>
      <c r="E59" s="191"/>
      <c r="F59" s="212"/>
      <c r="G59" s="213"/>
      <c r="H59" s="214">
        <f>SUM(H52:H58)</f>
        <v>0</v>
      </c>
      <c r="I59" s="215"/>
    </row>
    <row r="60" spans="1:11" ht="15.9" customHeight="1">
      <c r="A60" s="243"/>
      <c r="B60" s="256" t="s">
        <v>139</v>
      </c>
      <c r="C60" s="239"/>
      <c r="D60" s="215"/>
      <c r="E60" s="191"/>
      <c r="F60" s="192"/>
      <c r="G60" s="257" t="s">
        <v>140</v>
      </c>
      <c r="H60" s="241">
        <v>0</v>
      </c>
      <c r="I60" s="215"/>
    </row>
    <row r="61" spans="1:11" ht="15.9" customHeight="1">
      <c r="A61" s="243"/>
      <c r="B61" s="256" t="s">
        <v>80</v>
      </c>
      <c r="C61" s="239"/>
      <c r="D61" s="215"/>
      <c r="E61" s="191" t="s">
        <v>297</v>
      </c>
      <c r="F61" s="192">
        <v>0</v>
      </c>
      <c r="G61" s="258"/>
      <c r="H61" s="259">
        <f>(H59+H51)*F61%</f>
        <v>0</v>
      </c>
      <c r="I61" s="239"/>
    </row>
    <row r="62" spans="1:11" ht="15.9" customHeight="1">
      <c r="A62" s="243"/>
      <c r="B62" s="256" t="s">
        <v>141</v>
      </c>
      <c r="C62" s="239"/>
      <c r="D62" s="215"/>
      <c r="E62" s="191"/>
      <c r="F62" s="192"/>
      <c r="G62" s="258"/>
      <c r="H62" s="259"/>
      <c r="I62" s="239"/>
    </row>
    <row r="63" spans="1:11" ht="15.9" customHeight="1">
      <c r="A63" s="243"/>
      <c r="B63" s="256" t="s">
        <v>142</v>
      </c>
      <c r="C63" s="239"/>
      <c r="D63" s="215"/>
      <c r="E63" s="191"/>
      <c r="F63" s="192"/>
      <c r="G63" s="214"/>
      <c r="H63" s="213">
        <f>H51+H59+H60+H61+H62</f>
        <v>746100000</v>
      </c>
      <c r="I63" s="215"/>
      <c r="K63" s="150"/>
    </row>
    <row r="64" spans="1:11">
      <c r="A64" s="121"/>
    </row>
  </sheetData>
  <mergeCells count="3">
    <mergeCell ref="A2:B2"/>
    <mergeCell ref="A3:A50"/>
    <mergeCell ref="A52:A58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50"/>
    <pageSetUpPr fitToPage="1"/>
  </sheetPr>
  <dimension ref="A1:J65"/>
  <sheetViews>
    <sheetView tabSelected="1" zoomScale="115" zoomScaleNormal="115" workbookViewId="0">
      <pane xSplit="2" ySplit="2" topLeftCell="C16" activePane="bottomRight" state="frozen"/>
      <selection activeCell="K5" sqref="K5"/>
      <selection pane="topRight" activeCell="K5" sqref="K5"/>
      <selection pane="bottomLeft" activeCell="K5" sqref="K5"/>
      <selection pane="bottomRight" activeCell="C39" sqref="C39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 t="s">
        <v>176</v>
      </c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 t="s">
        <v>177</v>
      </c>
      <c r="D3" s="264"/>
      <c r="E3" s="201" t="s">
        <v>169</v>
      </c>
      <c r="F3" s="202">
        <v>1</v>
      </c>
      <c r="G3" s="203">
        <v>100000000</v>
      </c>
      <c r="H3" s="160">
        <f>IF(F3=0,G3,G3*F3)</f>
        <v>100000000</v>
      </c>
      <c r="I3" s="116" t="s">
        <v>222</v>
      </c>
    </row>
    <row r="4" spans="1:9" ht="15.9" customHeight="1">
      <c r="A4" s="530"/>
      <c r="B4" s="193"/>
      <c r="C4" s="267" t="s">
        <v>270</v>
      </c>
      <c r="D4" s="267"/>
      <c r="E4" s="201" t="s">
        <v>169</v>
      </c>
      <c r="F4" s="202">
        <v>1</v>
      </c>
      <c r="G4" s="269">
        <v>6000000</v>
      </c>
      <c r="H4" s="160">
        <f t="shared" ref="H4" si="0">F4*G4</f>
        <v>6000000</v>
      </c>
      <c r="I4" s="272" t="s">
        <v>223</v>
      </c>
    </row>
    <row r="5" spans="1:9" ht="15.9" customHeight="1">
      <c r="A5" s="530"/>
      <c r="B5" s="193"/>
      <c r="C5" s="267" t="s">
        <v>271</v>
      </c>
      <c r="D5" s="267"/>
      <c r="E5" s="201" t="s">
        <v>167</v>
      </c>
      <c r="F5" s="202">
        <v>1</v>
      </c>
      <c r="G5" s="203">
        <v>3500000</v>
      </c>
      <c r="H5" s="160">
        <f t="shared" ref="H5" si="1">IF(F5=0,G5,G5*F5)</f>
        <v>3500000</v>
      </c>
      <c r="I5" s="272" t="s">
        <v>222</v>
      </c>
    </row>
    <row r="6" spans="1:9" ht="15.9" customHeight="1">
      <c r="A6" s="530"/>
      <c r="B6" s="193"/>
      <c r="C6" s="200" t="s">
        <v>272</v>
      </c>
      <c r="D6" s="267"/>
      <c r="E6" s="201" t="s">
        <v>167</v>
      </c>
      <c r="F6" s="202">
        <v>1</v>
      </c>
      <c r="G6" s="203">
        <v>4000000</v>
      </c>
      <c r="H6" s="160">
        <f t="shared" ref="H6" si="2">IF(F6=0,G6,G6*F6)</f>
        <v>4000000</v>
      </c>
      <c r="I6" s="272" t="s">
        <v>222</v>
      </c>
    </row>
    <row r="7" spans="1:9" ht="15.9" customHeight="1">
      <c r="A7" s="530"/>
      <c r="B7" s="193"/>
      <c r="C7" s="200" t="s">
        <v>179</v>
      </c>
      <c r="D7" s="200"/>
      <c r="E7" s="201" t="s">
        <v>169</v>
      </c>
      <c r="F7" s="202">
        <v>6</v>
      </c>
      <c r="G7" s="203">
        <v>8000000</v>
      </c>
      <c r="H7" s="160">
        <f t="shared" ref="H7:H49" si="3">IF(F7=0,G7,G7*F7)</f>
        <v>48000000</v>
      </c>
      <c r="I7" s="272" t="s">
        <v>223</v>
      </c>
    </row>
    <row r="8" spans="1:9" ht="15.9" customHeight="1">
      <c r="A8" s="530"/>
      <c r="B8" s="193"/>
      <c r="C8" s="200" t="s">
        <v>225</v>
      </c>
      <c r="D8" s="200"/>
      <c r="E8" s="201" t="s">
        <v>169</v>
      </c>
      <c r="F8" s="202">
        <v>6</v>
      </c>
      <c r="G8" s="203">
        <v>9000000</v>
      </c>
      <c r="H8" s="160">
        <f t="shared" si="3"/>
        <v>54000000</v>
      </c>
      <c r="I8" s="272" t="s">
        <v>223</v>
      </c>
    </row>
    <row r="9" spans="1:9" ht="15.9" customHeight="1">
      <c r="A9" s="530"/>
      <c r="B9" s="193"/>
      <c r="C9" s="200" t="s">
        <v>273</v>
      </c>
      <c r="D9" s="200"/>
      <c r="E9" s="201" t="s">
        <v>167</v>
      </c>
      <c r="F9" s="202">
        <v>6</v>
      </c>
      <c r="G9" s="203">
        <v>1500000</v>
      </c>
      <c r="H9" s="160">
        <f t="shared" si="3"/>
        <v>9000000</v>
      </c>
      <c r="I9" s="272" t="s">
        <v>223</v>
      </c>
    </row>
    <row r="10" spans="1:9" ht="15.9" customHeight="1">
      <c r="A10" s="530"/>
      <c r="B10" s="193"/>
      <c r="C10" s="267" t="s">
        <v>275</v>
      </c>
      <c r="D10" s="267"/>
      <c r="E10" s="201" t="s">
        <v>169</v>
      </c>
      <c r="F10" s="202">
        <v>6</v>
      </c>
      <c r="G10" s="269">
        <v>2500000</v>
      </c>
      <c r="H10" s="160">
        <f>F10*G10</f>
        <v>15000000</v>
      </c>
      <c r="I10" s="272" t="s">
        <v>223</v>
      </c>
    </row>
    <row r="11" spans="1:9" ht="15.9" customHeight="1">
      <c r="A11" s="530"/>
      <c r="B11" s="193"/>
      <c r="C11" s="267" t="s">
        <v>283</v>
      </c>
      <c r="D11" s="267"/>
      <c r="E11" s="201" t="s">
        <v>167</v>
      </c>
      <c r="F11" s="202">
        <v>2</v>
      </c>
      <c r="G11" s="269">
        <v>6000000</v>
      </c>
      <c r="H11" s="160">
        <f t="shared" ref="H11" si="4">F11*G11</f>
        <v>12000000</v>
      </c>
      <c r="I11" s="272" t="s">
        <v>222</v>
      </c>
    </row>
    <row r="12" spans="1:9" ht="15.9" customHeight="1">
      <c r="A12" s="530"/>
      <c r="B12" s="193"/>
      <c r="C12" s="267" t="s">
        <v>271</v>
      </c>
      <c r="D12" s="267"/>
      <c r="E12" s="201" t="s">
        <v>167</v>
      </c>
      <c r="F12" s="202">
        <v>2</v>
      </c>
      <c r="G12" s="203">
        <v>3000000</v>
      </c>
      <c r="H12" s="160">
        <f t="shared" ref="H12" si="5">IF(F12=0,G12,G12*F12)</f>
        <v>6000000</v>
      </c>
      <c r="I12" s="272" t="s">
        <v>222</v>
      </c>
    </row>
    <row r="13" spans="1:9" ht="15.9" customHeight="1">
      <c r="A13" s="530"/>
      <c r="B13" s="193"/>
      <c r="C13" s="267" t="s">
        <v>221</v>
      </c>
      <c r="D13" s="267"/>
      <c r="E13" s="201" t="s">
        <v>167</v>
      </c>
      <c r="F13" s="268">
        <v>1</v>
      </c>
      <c r="G13" s="269">
        <v>4000000</v>
      </c>
      <c r="H13" s="160">
        <f t="shared" ref="H13" si="6">IF(F13=0,G13,G13*F13)</f>
        <v>4000000</v>
      </c>
      <c r="I13" s="272" t="s">
        <v>222</v>
      </c>
    </row>
    <row r="14" spans="1:9" ht="15.9" customHeight="1">
      <c r="A14" s="530"/>
      <c r="B14" s="193"/>
      <c r="C14" s="200"/>
      <c r="D14" s="200"/>
      <c r="E14" s="200"/>
      <c r="F14" s="202"/>
      <c r="G14" s="203"/>
      <c r="H14" s="160">
        <f t="shared" si="3"/>
        <v>0</v>
      </c>
      <c r="I14" s="25"/>
    </row>
    <row r="15" spans="1:9" ht="15.9" customHeight="1">
      <c r="A15" s="530"/>
      <c r="B15" s="193"/>
      <c r="C15" s="200"/>
      <c r="D15" s="200"/>
      <c r="E15" s="200"/>
      <c r="F15" s="202"/>
      <c r="G15" s="203"/>
      <c r="H15" s="160">
        <f t="shared" si="3"/>
        <v>0</v>
      </c>
      <c r="I15" s="25"/>
    </row>
    <row r="16" spans="1:9" ht="15.9" customHeight="1">
      <c r="A16" s="530"/>
      <c r="B16" s="193"/>
      <c r="C16" s="200"/>
      <c r="D16" s="200"/>
      <c r="E16" s="200"/>
      <c r="F16" s="202"/>
      <c r="G16" s="203"/>
      <c r="H16" s="160">
        <f t="shared" si="3"/>
        <v>0</v>
      </c>
      <c r="I16" s="25"/>
    </row>
    <row r="17" spans="1:9" ht="15.9" customHeight="1">
      <c r="A17" s="530"/>
      <c r="B17" s="209"/>
      <c r="C17" s="235"/>
      <c r="D17" s="235"/>
      <c r="E17" s="235"/>
      <c r="F17" s="233"/>
      <c r="G17" s="233"/>
      <c r="H17" s="234">
        <f>SUM(H3:H16)</f>
        <v>261500000</v>
      </c>
      <c r="I17" s="235"/>
    </row>
    <row r="18" spans="1:9" ht="15.9" customHeight="1">
      <c r="A18" s="530"/>
      <c r="B18" s="193" t="s">
        <v>144</v>
      </c>
      <c r="C18" s="194"/>
      <c r="D18" s="194"/>
      <c r="E18" s="195"/>
      <c r="F18" s="196"/>
      <c r="G18" s="197"/>
      <c r="H18" s="198">
        <f t="shared" si="3"/>
        <v>0</v>
      </c>
      <c r="I18" s="199"/>
    </row>
    <row r="19" spans="1:9" ht="15.9" customHeight="1">
      <c r="A19" s="530"/>
      <c r="B19" s="193" t="s">
        <v>145</v>
      </c>
      <c r="C19" s="200"/>
      <c r="D19" s="200"/>
      <c r="E19" s="200"/>
      <c r="F19" s="203"/>
      <c r="G19" s="203"/>
      <c r="H19" s="160">
        <f t="shared" si="3"/>
        <v>0</v>
      </c>
      <c r="I19" s="25"/>
    </row>
    <row r="20" spans="1:9" ht="15.9" customHeight="1">
      <c r="A20" s="530"/>
      <c r="B20" s="193"/>
      <c r="C20" s="200"/>
      <c r="D20" s="200"/>
      <c r="E20" s="200"/>
      <c r="F20" s="203"/>
      <c r="G20" s="203"/>
      <c r="H20" s="160">
        <f t="shared" si="3"/>
        <v>0</v>
      </c>
      <c r="I20" s="25"/>
    </row>
    <row r="21" spans="1:9" ht="15.9" customHeight="1">
      <c r="A21" s="530"/>
      <c r="B21" s="193"/>
      <c r="C21" s="200"/>
      <c r="D21" s="200"/>
      <c r="E21" s="200"/>
      <c r="F21" s="203"/>
      <c r="G21" s="203"/>
      <c r="H21" s="160">
        <f t="shared" si="3"/>
        <v>0</v>
      </c>
      <c r="I21" s="25"/>
    </row>
    <row r="22" spans="1:9" ht="15.9" customHeight="1">
      <c r="A22" s="530"/>
      <c r="B22" s="193"/>
      <c r="C22" s="204"/>
      <c r="D22" s="204"/>
      <c r="E22" s="204"/>
      <c r="F22" s="207"/>
      <c r="G22" s="207"/>
      <c r="H22" s="160">
        <f t="shared" si="3"/>
        <v>0</v>
      </c>
      <c r="I22" s="208"/>
    </row>
    <row r="23" spans="1:9" ht="15.9" customHeight="1">
      <c r="A23" s="530"/>
      <c r="B23" s="209"/>
      <c r="C23" s="210"/>
      <c r="D23" s="211"/>
      <c r="E23" s="211"/>
      <c r="F23" s="270"/>
      <c r="G23" s="213"/>
      <c r="H23" s="214">
        <f>SUM(H18:H22)</f>
        <v>0</v>
      </c>
      <c r="I23" s="215"/>
    </row>
    <row r="24" spans="1:9" ht="15.9" customHeight="1">
      <c r="A24" s="530"/>
      <c r="B24" s="236" t="s">
        <v>146</v>
      </c>
      <c r="C24" s="267" t="s">
        <v>202</v>
      </c>
      <c r="D24" s="264" t="s">
        <v>232</v>
      </c>
      <c r="E24" s="264" t="s">
        <v>167</v>
      </c>
      <c r="F24" s="271">
        <v>10</v>
      </c>
      <c r="G24" s="269">
        <v>150000</v>
      </c>
      <c r="H24" s="168">
        <f t="shared" ref="H24:H38" si="7">IF(F24=0,G24,G24*F24)</f>
        <v>1500000</v>
      </c>
      <c r="I24" s="20" t="s">
        <v>205</v>
      </c>
    </row>
    <row r="25" spans="1:9" ht="15.9" customHeight="1">
      <c r="A25" s="530"/>
      <c r="B25" s="193" t="s">
        <v>147</v>
      </c>
      <c r="C25" s="323" t="s">
        <v>203</v>
      </c>
      <c r="D25" s="264" t="s">
        <v>233</v>
      </c>
      <c r="E25" s="264" t="s">
        <v>167</v>
      </c>
      <c r="F25" s="271">
        <v>10</v>
      </c>
      <c r="G25" s="269">
        <v>200000</v>
      </c>
      <c r="H25" s="160">
        <f t="shared" si="7"/>
        <v>2000000</v>
      </c>
      <c r="I25" s="272" t="s">
        <v>205</v>
      </c>
    </row>
    <row r="26" spans="1:9" ht="15.9" customHeight="1">
      <c r="A26" s="530"/>
      <c r="B26" s="193"/>
      <c r="C26" s="267" t="s">
        <v>204</v>
      </c>
      <c r="D26" s="264" t="s">
        <v>234</v>
      </c>
      <c r="E26" s="264" t="s">
        <v>167</v>
      </c>
      <c r="F26" s="271">
        <v>12</v>
      </c>
      <c r="G26" s="269">
        <v>50000</v>
      </c>
      <c r="H26" s="160">
        <f t="shared" si="7"/>
        <v>600000</v>
      </c>
      <c r="I26" s="272" t="s">
        <v>206</v>
      </c>
    </row>
    <row r="27" spans="1:9" ht="15.9" customHeight="1">
      <c r="A27" s="530"/>
      <c r="B27" s="193"/>
      <c r="C27" s="267" t="s">
        <v>165</v>
      </c>
      <c r="D27" s="264" t="s">
        <v>235</v>
      </c>
      <c r="E27" s="264" t="s">
        <v>167</v>
      </c>
      <c r="F27" s="271">
        <v>1</v>
      </c>
      <c r="G27" s="269">
        <v>1000000</v>
      </c>
      <c r="H27" s="160">
        <f t="shared" si="7"/>
        <v>1000000</v>
      </c>
      <c r="I27" s="272" t="s">
        <v>207</v>
      </c>
    </row>
    <row r="28" spans="1:9" ht="15.9" customHeight="1">
      <c r="A28" s="530"/>
      <c r="B28" s="193"/>
      <c r="C28" s="267" t="s">
        <v>166</v>
      </c>
      <c r="D28" s="264" t="s">
        <v>247</v>
      </c>
      <c r="E28" s="264" t="s">
        <v>167</v>
      </c>
      <c r="F28" s="271">
        <v>1</v>
      </c>
      <c r="G28" s="269">
        <v>2500000</v>
      </c>
      <c r="H28" s="160">
        <f t="shared" si="7"/>
        <v>2500000</v>
      </c>
      <c r="I28" s="272" t="s">
        <v>208</v>
      </c>
    </row>
    <row r="29" spans="1:9" ht="15.9" customHeight="1">
      <c r="A29" s="530"/>
      <c r="B29" s="193"/>
      <c r="C29" s="267" t="s">
        <v>249</v>
      </c>
      <c r="D29" s="264" t="s">
        <v>250</v>
      </c>
      <c r="E29" s="264" t="s">
        <v>167</v>
      </c>
      <c r="F29" s="271">
        <v>12</v>
      </c>
      <c r="G29" s="269">
        <v>300000</v>
      </c>
      <c r="H29" s="160">
        <f t="shared" si="7"/>
        <v>3600000</v>
      </c>
      <c r="I29" s="272" t="s">
        <v>268</v>
      </c>
    </row>
    <row r="30" spans="1:9" ht="15.9" customHeight="1">
      <c r="A30" s="530"/>
      <c r="B30" s="193"/>
      <c r="C30" s="200" t="s">
        <v>209</v>
      </c>
      <c r="D30" s="264" t="s">
        <v>210</v>
      </c>
      <c r="E30" s="264" t="s">
        <v>167</v>
      </c>
      <c r="F30" s="268">
        <v>6</v>
      </c>
      <c r="G30" s="203">
        <v>500000</v>
      </c>
      <c r="H30" s="160">
        <f t="shared" si="7"/>
        <v>3000000</v>
      </c>
      <c r="I30" s="272" t="s">
        <v>215</v>
      </c>
    </row>
    <row r="31" spans="1:9" ht="15.9" customHeight="1">
      <c r="A31" s="530"/>
      <c r="B31" s="193"/>
      <c r="C31" s="200" t="s">
        <v>168</v>
      </c>
      <c r="D31" s="264" t="s">
        <v>211</v>
      </c>
      <c r="E31" s="264" t="s">
        <v>167</v>
      </c>
      <c r="F31" s="271">
        <v>2</v>
      </c>
      <c r="G31" s="203">
        <v>2500000</v>
      </c>
      <c r="H31" s="160">
        <f t="shared" si="7"/>
        <v>5000000</v>
      </c>
      <c r="I31" s="272" t="s">
        <v>216</v>
      </c>
    </row>
    <row r="32" spans="1:9" ht="15.9" customHeight="1">
      <c r="A32" s="530"/>
      <c r="B32" s="193"/>
      <c r="C32" s="200" t="s">
        <v>276</v>
      </c>
      <c r="D32" s="264" t="s">
        <v>277</v>
      </c>
      <c r="E32" s="264" t="s">
        <v>167</v>
      </c>
      <c r="F32" s="268">
        <v>6</v>
      </c>
      <c r="G32" s="203">
        <v>2200000</v>
      </c>
      <c r="H32" s="160">
        <f t="shared" si="7"/>
        <v>13200000</v>
      </c>
      <c r="I32" s="272" t="s">
        <v>217</v>
      </c>
    </row>
    <row r="33" spans="1:10" ht="15.9" customHeight="1">
      <c r="A33" s="530"/>
      <c r="B33" s="193"/>
      <c r="C33" s="200" t="s">
        <v>226</v>
      </c>
      <c r="D33" s="264" t="s">
        <v>213</v>
      </c>
      <c r="E33" s="264" t="s">
        <v>167</v>
      </c>
      <c r="F33" s="268">
        <v>3</v>
      </c>
      <c r="G33" s="203">
        <v>28000000</v>
      </c>
      <c r="H33" s="160">
        <f t="shared" si="7"/>
        <v>84000000</v>
      </c>
      <c r="I33" s="272" t="s">
        <v>287</v>
      </c>
    </row>
    <row r="34" spans="1:10" ht="15.9" customHeight="1">
      <c r="A34" s="530"/>
      <c r="B34" s="193"/>
      <c r="C34" s="200" t="s">
        <v>170</v>
      </c>
      <c r="D34" s="264" t="s">
        <v>286</v>
      </c>
      <c r="E34" s="264" t="s">
        <v>167</v>
      </c>
      <c r="F34" s="268">
        <v>1</v>
      </c>
      <c r="G34" s="203">
        <v>18600000</v>
      </c>
      <c r="H34" s="160">
        <f t="shared" si="7"/>
        <v>18600000</v>
      </c>
      <c r="I34" s="272" t="s">
        <v>285</v>
      </c>
    </row>
    <row r="35" spans="1:10" ht="15.9" customHeight="1">
      <c r="A35" s="530"/>
      <c r="B35" s="193"/>
      <c r="C35" s="200" t="s">
        <v>170</v>
      </c>
      <c r="D35" s="264" t="s">
        <v>284</v>
      </c>
      <c r="E35" s="264" t="s">
        <v>167</v>
      </c>
      <c r="F35" s="268">
        <v>1</v>
      </c>
      <c r="G35" s="203">
        <v>12600000</v>
      </c>
      <c r="H35" s="160">
        <f t="shared" si="7"/>
        <v>12600000</v>
      </c>
      <c r="I35" s="272" t="s">
        <v>285</v>
      </c>
    </row>
    <row r="36" spans="1:10" ht="15.9" customHeight="1">
      <c r="A36" s="530"/>
      <c r="B36" s="193"/>
      <c r="C36" s="200" t="s">
        <v>227</v>
      </c>
      <c r="D36" s="264"/>
      <c r="E36" s="264" t="s">
        <v>167</v>
      </c>
      <c r="F36" s="268">
        <v>1</v>
      </c>
      <c r="G36" s="203">
        <v>2000000</v>
      </c>
      <c r="H36" s="160">
        <f t="shared" si="7"/>
        <v>2000000</v>
      </c>
      <c r="I36" s="272"/>
    </row>
    <row r="37" spans="1:10" ht="15.9" customHeight="1">
      <c r="A37" s="530"/>
      <c r="B37" s="193"/>
      <c r="C37" s="200" t="s">
        <v>288</v>
      </c>
      <c r="D37" s="264" t="s">
        <v>282</v>
      </c>
      <c r="E37" s="264" t="s">
        <v>167</v>
      </c>
      <c r="F37" s="268">
        <v>6</v>
      </c>
      <c r="G37" s="203">
        <v>12500000</v>
      </c>
      <c r="H37" s="160">
        <f t="shared" si="7"/>
        <v>75000000</v>
      </c>
      <c r="I37" s="272" t="s">
        <v>280</v>
      </c>
      <c r="J37" s="330" t="s">
        <v>293</v>
      </c>
    </row>
    <row r="38" spans="1:10" ht="15.9" customHeight="1">
      <c r="A38" s="530"/>
      <c r="B38" s="193"/>
      <c r="C38" s="200" t="s">
        <v>180</v>
      </c>
      <c r="D38" s="264" t="s">
        <v>281</v>
      </c>
      <c r="E38" s="264" t="s">
        <v>167</v>
      </c>
      <c r="F38" s="268">
        <v>1</v>
      </c>
      <c r="G38" s="203">
        <v>37000000</v>
      </c>
      <c r="H38" s="160">
        <f t="shared" si="7"/>
        <v>37000000</v>
      </c>
      <c r="I38" s="272" t="s">
        <v>280</v>
      </c>
    </row>
    <row r="39" spans="1:10" ht="15.9" customHeight="1">
      <c r="A39" s="530"/>
      <c r="B39" s="193"/>
      <c r="C39" s="200" t="s">
        <v>189</v>
      </c>
      <c r="D39" s="201" t="s">
        <v>244</v>
      </c>
      <c r="E39" s="264" t="s">
        <v>167</v>
      </c>
      <c r="F39" s="268">
        <v>1</v>
      </c>
      <c r="G39" s="203">
        <v>1500000</v>
      </c>
      <c r="H39" s="160">
        <f t="shared" ref="H39" si="8">IF(F39=0,G39,G39*F39)</f>
        <v>1500000</v>
      </c>
      <c r="I39" s="272" t="s">
        <v>245</v>
      </c>
    </row>
    <row r="40" spans="1:10" ht="15.9" customHeight="1">
      <c r="A40" s="530"/>
      <c r="B40" s="193"/>
      <c r="C40" s="200"/>
      <c r="D40" s="264"/>
      <c r="E40" s="264"/>
      <c r="F40" s="268"/>
      <c r="G40" s="203"/>
      <c r="H40" s="160"/>
      <c r="I40" s="272"/>
    </row>
    <row r="41" spans="1:10" ht="15.9" customHeight="1">
      <c r="A41" s="530"/>
      <c r="B41" s="193"/>
      <c r="C41" s="200"/>
      <c r="D41" s="264"/>
      <c r="E41" s="264"/>
      <c r="F41" s="268"/>
      <c r="G41" s="203"/>
      <c r="H41" s="160"/>
      <c r="I41" s="272"/>
    </row>
    <row r="42" spans="1:10" ht="15.9" customHeight="1">
      <c r="A42" s="530"/>
      <c r="B42" s="193"/>
      <c r="C42" s="200"/>
      <c r="D42" s="264"/>
      <c r="E42" s="264"/>
      <c r="F42" s="268"/>
      <c r="G42" s="203"/>
      <c r="H42" s="160"/>
      <c r="I42" s="272"/>
    </row>
    <row r="43" spans="1:10" ht="15.9" customHeight="1">
      <c r="A43" s="530"/>
      <c r="B43" s="193"/>
      <c r="C43" s="200"/>
      <c r="D43" s="264"/>
      <c r="E43" s="264"/>
      <c r="F43" s="268"/>
      <c r="G43" s="203"/>
      <c r="H43" s="160"/>
      <c r="I43" s="272"/>
    </row>
    <row r="44" spans="1:10" ht="15.9" customHeight="1">
      <c r="A44" s="530"/>
      <c r="B44" s="193"/>
      <c r="C44" s="224"/>
      <c r="D44" s="278"/>
      <c r="E44" s="305"/>
      <c r="F44" s="306"/>
      <c r="G44" s="226"/>
      <c r="H44" s="227"/>
      <c r="I44" s="208"/>
    </row>
    <row r="45" spans="1:10" ht="15.9" customHeight="1">
      <c r="A45" s="530"/>
      <c r="B45" s="209"/>
      <c r="C45" s="239"/>
      <c r="D45" s="215"/>
      <c r="E45" s="215"/>
      <c r="F45" s="214"/>
      <c r="G45" s="214"/>
      <c r="H45" s="214">
        <f>SUM(H24:H44)</f>
        <v>263100000</v>
      </c>
      <c r="I45" s="215"/>
    </row>
    <row r="46" spans="1:10" ht="15.9" customHeight="1">
      <c r="A46" s="530"/>
      <c r="B46" s="236" t="s">
        <v>49</v>
      </c>
      <c r="C46" s="200" t="s">
        <v>181</v>
      </c>
      <c r="D46" s="264"/>
      <c r="E46" s="264" t="s">
        <v>167</v>
      </c>
      <c r="F46" s="268">
        <v>1</v>
      </c>
      <c r="G46" s="203">
        <v>140000000</v>
      </c>
      <c r="H46" s="221">
        <f t="shared" si="3"/>
        <v>140000000</v>
      </c>
      <c r="I46" s="222" t="s">
        <v>387</v>
      </c>
    </row>
    <row r="47" spans="1:10" ht="15.9" customHeight="1">
      <c r="A47" s="530"/>
      <c r="B47" s="193"/>
      <c r="C47" s="200" t="s">
        <v>182</v>
      </c>
      <c r="D47" s="264"/>
      <c r="E47" s="264" t="s">
        <v>167</v>
      </c>
      <c r="F47" s="268">
        <v>1</v>
      </c>
      <c r="G47" s="203">
        <v>140000000</v>
      </c>
      <c r="H47" s="160">
        <f t="shared" si="3"/>
        <v>140000000</v>
      </c>
      <c r="I47" s="25" t="s">
        <v>387</v>
      </c>
    </row>
    <row r="48" spans="1:10" ht="15.9" customHeight="1">
      <c r="A48" s="530"/>
      <c r="B48" s="193"/>
      <c r="C48" s="200"/>
      <c r="D48" s="200"/>
      <c r="E48" s="201"/>
      <c r="F48" s="202"/>
      <c r="G48" s="203"/>
      <c r="H48" s="160">
        <f t="shared" si="3"/>
        <v>0</v>
      </c>
      <c r="I48" s="25"/>
    </row>
    <row r="49" spans="1:9" ht="15.9" customHeight="1">
      <c r="A49" s="530"/>
      <c r="B49" s="193"/>
      <c r="C49" s="204"/>
      <c r="D49" s="204"/>
      <c r="E49" s="204"/>
      <c r="F49" s="207"/>
      <c r="G49" s="207"/>
      <c r="H49" s="161">
        <f t="shared" si="3"/>
        <v>0</v>
      </c>
      <c r="I49" s="208"/>
    </row>
    <row r="50" spans="1:9" ht="15.9" customHeight="1">
      <c r="A50" s="530"/>
      <c r="B50" s="209"/>
      <c r="C50" s="210"/>
      <c r="D50" s="211"/>
      <c r="E50" s="211"/>
      <c r="F50" s="213"/>
      <c r="G50" s="213"/>
      <c r="H50" s="214">
        <f>SUM(H46:H49)</f>
        <v>280000000</v>
      </c>
      <c r="I50" s="215"/>
    </row>
    <row r="51" spans="1:9" ht="15.9" customHeight="1">
      <c r="A51" s="237"/>
      <c r="B51" s="238" t="s">
        <v>129</v>
      </c>
      <c r="C51" s="239"/>
      <c r="D51" s="215"/>
      <c r="E51" s="215"/>
      <c r="F51" s="241"/>
      <c r="G51" s="241"/>
      <c r="H51" s="214">
        <f>SUM(H50,H45,H23,H17)</f>
        <v>804600000</v>
      </c>
      <c r="I51" s="215"/>
    </row>
    <row r="52" spans="1:9" ht="15.9" customHeight="1">
      <c r="A52" s="531" t="s">
        <v>130</v>
      </c>
      <c r="B52" s="242" t="s">
        <v>55</v>
      </c>
      <c r="C52" s="239"/>
      <c r="D52" s="215"/>
      <c r="E52" s="242" t="s">
        <v>56</v>
      </c>
      <c r="F52" s="259"/>
      <c r="G52" s="245"/>
      <c r="H52" s="246">
        <f>F52*G52</f>
        <v>0</v>
      </c>
      <c r="I52" s="215"/>
    </row>
    <row r="53" spans="1:9" ht="15.9" customHeight="1">
      <c r="A53" s="530"/>
      <c r="B53" s="247" t="s">
        <v>148</v>
      </c>
      <c r="C53" s="287"/>
      <c r="D53" s="288"/>
      <c r="E53" s="289" t="s">
        <v>132</v>
      </c>
      <c r="F53" s="219">
        <v>50</v>
      </c>
      <c r="G53" s="220">
        <v>300000</v>
      </c>
      <c r="H53" s="221">
        <f t="shared" ref="H53:H59" si="9">F53*G53</f>
        <v>15000000</v>
      </c>
      <c r="I53" s="222"/>
    </row>
    <row r="54" spans="1:9" ht="15.9" customHeight="1">
      <c r="A54" s="530"/>
      <c r="B54" s="281" t="s">
        <v>149</v>
      </c>
      <c r="C54" s="290"/>
      <c r="D54" s="267"/>
      <c r="E54" s="282" t="s">
        <v>132</v>
      </c>
      <c r="F54" s="268">
        <v>50</v>
      </c>
      <c r="G54" s="203">
        <v>300000</v>
      </c>
      <c r="H54" s="160">
        <f t="shared" si="9"/>
        <v>15000000</v>
      </c>
      <c r="I54" s="25"/>
    </row>
    <row r="55" spans="1:9" ht="15.9" customHeight="1">
      <c r="A55" s="530"/>
      <c r="B55" s="250" t="s">
        <v>150</v>
      </c>
      <c r="C55" s="290"/>
      <c r="D55" s="267"/>
      <c r="E55" s="282" t="s">
        <v>132</v>
      </c>
      <c r="F55" s="268">
        <v>80</v>
      </c>
      <c r="G55" s="203">
        <v>300000</v>
      </c>
      <c r="H55" s="160">
        <f t="shared" si="9"/>
        <v>24000000</v>
      </c>
      <c r="I55" s="25"/>
    </row>
    <row r="56" spans="1:9" ht="15.9" customHeight="1">
      <c r="A56" s="530"/>
      <c r="B56" s="250" t="s">
        <v>151</v>
      </c>
      <c r="C56" s="290"/>
      <c r="D56" s="267"/>
      <c r="E56" s="282" t="s">
        <v>132</v>
      </c>
      <c r="F56" s="275"/>
      <c r="G56" s="203"/>
      <c r="H56" s="160">
        <f t="shared" si="9"/>
        <v>0</v>
      </c>
      <c r="I56" s="25"/>
    </row>
    <row r="57" spans="1:9" ht="15.9" customHeight="1">
      <c r="A57" s="530"/>
      <c r="B57" s="250" t="s">
        <v>152</v>
      </c>
      <c r="C57" s="290"/>
      <c r="D57" s="267"/>
      <c r="E57" s="282" t="s">
        <v>132</v>
      </c>
      <c r="F57" s="275"/>
      <c r="G57" s="203"/>
      <c r="H57" s="160">
        <f t="shared" si="9"/>
        <v>0</v>
      </c>
      <c r="I57" s="25"/>
    </row>
    <row r="58" spans="1:9" ht="15.9" customHeight="1">
      <c r="A58" s="530"/>
      <c r="B58" s="250" t="s">
        <v>153</v>
      </c>
      <c r="C58" s="290"/>
      <c r="D58" s="267"/>
      <c r="E58" s="282" t="s">
        <v>132</v>
      </c>
      <c r="F58" s="291"/>
      <c r="G58" s="203"/>
      <c r="H58" s="160">
        <f t="shared" si="9"/>
        <v>0</v>
      </c>
      <c r="I58" s="25"/>
    </row>
    <row r="59" spans="1:9" ht="15.9" customHeight="1">
      <c r="A59" s="530"/>
      <c r="B59" s="253" t="s">
        <v>157</v>
      </c>
      <c r="C59" s="292"/>
      <c r="D59" s="293"/>
      <c r="E59" s="276" t="s">
        <v>132</v>
      </c>
      <c r="F59" s="294"/>
      <c r="G59" s="207"/>
      <c r="H59" s="161">
        <f t="shared" si="9"/>
        <v>0</v>
      </c>
      <c r="I59" s="208"/>
    </row>
    <row r="60" spans="1:9" ht="15.9" customHeight="1">
      <c r="A60" s="237"/>
      <c r="B60" s="256" t="s">
        <v>138</v>
      </c>
      <c r="C60" s="239"/>
      <c r="D60" s="215"/>
      <c r="E60" s="215"/>
      <c r="F60" s="213"/>
      <c r="G60" s="213"/>
      <c r="H60" s="213">
        <f>SUM(H52:H59)</f>
        <v>54000000</v>
      </c>
      <c r="I60" s="211"/>
    </row>
    <row r="61" spans="1:9" ht="15.9" customHeight="1">
      <c r="A61" s="243"/>
      <c r="B61" s="256" t="s">
        <v>155</v>
      </c>
      <c r="C61" s="239"/>
      <c r="D61" s="215"/>
      <c r="E61" s="215"/>
      <c r="F61" s="214"/>
      <c r="G61" s="214"/>
      <c r="H61" s="241">
        <f>'단위공사별(집계)'!L9+'단위공사별(집계)'!I9</f>
        <v>19913798.102012023</v>
      </c>
      <c r="I61" s="215"/>
    </row>
    <row r="62" spans="1:9" ht="15.9" customHeight="1">
      <c r="A62" s="243"/>
      <c r="B62" s="256" t="s">
        <v>80</v>
      </c>
      <c r="C62" s="239"/>
      <c r="D62" s="215"/>
      <c r="E62" s="215"/>
      <c r="F62" s="214"/>
      <c r="G62" s="258"/>
      <c r="H62" s="259"/>
      <c r="I62" s="239"/>
    </row>
    <row r="63" spans="1:9" ht="15.9" customHeight="1">
      <c r="A63" s="243"/>
      <c r="B63" s="256" t="s">
        <v>141</v>
      </c>
      <c r="C63" s="239"/>
      <c r="D63" s="215"/>
      <c r="E63" s="215"/>
      <c r="F63" s="214"/>
      <c r="G63" s="258"/>
      <c r="H63" s="259"/>
      <c r="I63" s="239"/>
    </row>
    <row r="64" spans="1:9" ht="15.9" customHeight="1">
      <c r="A64" s="243"/>
      <c r="B64" s="256" t="s">
        <v>142</v>
      </c>
      <c r="C64" s="239"/>
      <c r="D64" s="215"/>
      <c r="E64" s="215"/>
      <c r="F64" s="214"/>
      <c r="G64" s="214"/>
      <c r="H64" s="213">
        <f>H51+H60+H61+H62+H63</f>
        <v>878513798.10201204</v>
      </c>
      <c r="I64" s="215"/>
    </row>
    <row r="65" spans="1:1">
      <c r="A65" s="121"/>
    </row>
  </sheetData>
  <mergeCells count="3">
    <mergeCell ref="A2:B2"/>
    <mergeCell ref="A3:A50"/>
    <mergeCell ref="A52:A5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50"/>
    <pageSetUpPr fitToPage="1"/>
  </sheetPr>
  <dimension ref="A1:I76"/>
  <sheetViews>
    <sheetView zoomScale="115" zoomScaleNormal="115" workbookViewId="0">
      <pane xSplit="2" ySplit="2" topLeftCell="C47" activePane="bottomRight" state="frozen"/>
      <selection activeCell="K5" sqref="K5"/>
      <selection pane="topRight" activeCell="K5" sqref="K5"/>
      <selection pane="bottomLeft" activeCell="K5" sqref="K5"/>
      <selection pane="bottomRight" activeCell="H72" sqref="H72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 t="s">
        <v>184</v>
      </c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 t="s">
        <v>238</v>
      </c>
      <c r="D3" s="264"/>
      <c r="E3" s="201" t="s">
        <v>169</v>
      </c>
      <c r="F3" s="202">
        <v>3</v>
      </c>
      <c r="G3" s="203">
        <v>4000000</v>
      </c>
      <c r="H3" s="221">
        <f>IF(F3=0,G3,G3*F3)</f>
        <v>12000000</v>
      </c>
      <c r="I3" s="116" t="s">
        <v>222</v>
      </c>
    </row>
    <row r="4" spans="1:9" ht="15.9" customHeight="1">
      <c r="A4" s="530"/>
      <c r="B4" s="193"/>
      <c r="C4" s="267" t="s">
        <v>185</v>
      </c>
      <c r="D4" s="267"/>
      <c r="E4" s="201" t="s">
        <v>169</v>
      </c>
      <c r="F4" s="202">
        <v>2</v>
      </c>
      <c r="G4" s="269">
        <v>8000000</v>
      </c>
      <c r="H4" s="160">
        <f>IF(F4=0,G4,G4*F4)</f>
        <v>16000000</v>
      </c>
      <c r="I4" s="272" t="s">
        <v>223</v>
      </c>
    </row>
    <row r="5" spans="1:9" ht="15.9" customHeight="1">
      <c r="A5" s="530"/>
      <c r="B5" s="193"/>
      <c r="C5" s="267" t="s">
        <v>186</v>
      </c>
      <c r="D5" s="267"/>
      <c r="E5" s="201" t="s">
        <v>169</v>
      </c>
      <c r="F5" s="202">
        <v>1</v>
      </c>
      <c r="G5" s="269">
        <v>3000000</v>
      </c>
      <c r="H5" s="160">
        <f t="shared" ref="H5:H8" si="0">IF(F5=0,G5,G5*F5)</f>
        <v>3000000</v>
      </c>
      <c r="I5" s="272" t="s">
        <v>223</v>
      </c>
    </row>
    <row r="6" spans="1:9" ht="15.9" customHeight="1">
      <c r="A6" s="530"/>
      <c r="B6" s="193"/>
      <c r="C6" s="267" t="s">
        <v>292</v>
      </c>
      <c r="D6" s="267"/>
      <c r="E6" s="201" t="s">
        <v>167</v>
      </c>
      <c r="F6" s="202">
        <v>2</v>
      </c>
      <c r="G6" s="269">
        <v>5500000</v>
      </c>
      <c r="H6" s="160">
        <f t="shared" ref="H6" si="1">F6*G6</f>
        <v>11000000</v>
      </c>
      <c r="I6" s="272" t="s">
        <v>222</v>
      </c>
    </row>
    <row r="7" spans="1:9" ht="15.9" customHeight="1">
      <c r="A7" s="530"/>
      <c r="B7" s="193"/>
      <c r="C7" s="267" t="s">
        <v>171</v>
      </c>
      <c r="D7" s="267"/>
      <c r="E7" s="201" t="s">
        <v>169</v>
      </c>
      <c r="F7" s="268">
        <v>1</v>
      </c>
      <c r="G7" s="269">
        <v>5000000</v>
      </c>
      <c r="H7" s="160">
        <f t="shared" si="0"/>
        <v>5000000</v>
      </c>
      <c r="I7" s="272" t="s">
        <v>223</v>
      </c>
    </row>
    <row r="8" spans="1:9" ht="15.9" customHeight="1">
      <c r="A8" s="530"/>
      <c r="B8" s="193"/>
      <c r="C8" s="200" t="s">
        <v>230</v>
      </c>
      <c r="D8" s="200"/>
      <c r="E8" s="201" t="s">
        <v>169</v>
      </c>
      <c r="F8" s="268">
        <v>1</v>
      </c>
      <c r="G8" s="203">
        <v>1500000</v>
      </c>
      <c r="H8" s="160">
        <f t="shared" si="0"/>
        <v>1500000</v>
      </c>
      <c r="I8" s="272" t="s">
        <v>223</v>
      </c>
    </row>
    <row r="9" spans="1:9" ht="15.9" customHeight="1">
      <c r="A9" s="530"/>
      <c r="B9" s="193"/>
      <c r="C9" s="267" t="s">
        <v>231</v>
      </c>
      <c r="D9" s="267"/>
      <c r="E9" s="201" t="s">
        <v>167</v>
      </c>
      <c r="F9" s="268">
        <v>1</v>
      </c>
      <c r="G9" s="203">
        <v>1200000</v>
      </c>
      <c r="H9" s="160">
        <f t="shared" ref="H9:H10" si="2">IF(F9=0,G9,G9*F9)</f>
        <v>1200000</v>
      </c>
      <c r="I9" s="272" t="s">
        <v>223</v>
      </c>
    </row>
    <row r="10" spans="1:9" ht="15.9" customHeight="1">
      <c r="A10" s="530"/>
      <c r="B10" s="193"/>
      <c r="C10" s="267" t="s">
        <v>221</v>
      </c>
      <c r="D10" s="267"/>
      <c r="E10" s="201" t="s">
        <v>167</v>
      </c>
      <c r="F10" s="268">
        <v>1</v>
      </c>
      <c r="G10" s="269">
        <v>2000000</v>
      </c>
      <c r="H10" s="160">
        <f t="shared" si="2"/>
        <v>2000000</v>
      </c>
      <c r="I10" s="272" t="s">
        <v>222</v>
      </c>
    </row>
    <row r="11" spans="1:9" ht="15.9" customHeight="1">
      <c r="A11" s="530"/>
      <c r="B11" s="193"/>
      <c r="C11" s="200"/>
      <c r="D11" s="264"/>
      <c r="E11" s="201"/>
      <c r="F11" s="202"/>
      <c r="G11" s="203"/>
      <c r="H11" s="160">
        <f t="shared" ref="H11:H60" si="3">IF(F11=0,G11,G11*F11)</f>
        <v>0</v>
      </c>
      <c r="I11" s="25"/>
    </row>
    <row r="12" spans="1:9" ht="15.9" customHeight="1">
      <c r="A12" s="530"/>
      <c r="B12" s="193"/>
      <c r="C12" s="267"/>
      <c r="D12" s="267"/>
      <c r="E12" s="201"/>
      <c r="F12" s="202"/>
      <c r="G12" s="269"/>
      <c r="H12" s="160">
        <f t="shared" si="3"/>
        <v>0</v>
      </c>
      <c r="I12" s="25"/>
    </row>
    <row r="13" spans="1:9" ht="15.9" customHeight="1">
      <c r="A13" s="530"/>
      <c r="B13" s="193"/>
      <c r="C13" s="267"/>
      <c r="D13" s="267"/>
      <c r="E13" s="201"/>
      <c r="F13" s="268"/>
      <c r="G13" s="269"/>
      <c r="H13" s="160">
        <f t="shared" si="3"/>
        <v>0</v>
      </c>
      <c r="I13" s="25"/>
    </row>
    <row r="14" spans="1:9" ht="15.9" customHeight="1">
      <c r="A14" s="530"/>
      <c r="B14" s="193"/>
      <c r="C14" s="200"/>
      <c r="D14" s="200"/>
      <c r="E14" s="201"/>
      <c r="F14" s="202"/>
      <c r="G14" s="203"/>
      <c r="H14" s="160">
        <f t="shared" si="3"/>
        <v>0</v>
      </c>
      <c r="I14" s="25"/>
    </row>
    <row r="15" spans="1:9" ht="15.9" customHeight="1">
      <c r="A15" s="530"/>
      <c r="B15" s="193"/>
      <c r="C15" s="267"/>
      <c r="D15" s="267"/>
      <c r="E15" s="201"/>
      <c r="F15" s="268"/>
      <c r="G15" s="269"/>
      <c r="H15" s="160">
        <f t="shared" si="3"/>
        <v>0</v>
      </c>
      <c r="I15" s="25"/>
    </row>
    <row r="16" spans="1:9" ht="15.9" customHeight="1">
      <c r="A16" s="530"/>
      <c r="B16" s="193"/>
      <c r="C16" s="200"/>
      <c r="D16" s="200"/>
      <c r="E16" s="200"/>
      <c r="F16" s="203"/>
      <c r="G16" s="203"/>
      <c r="H16" s="160">
        <f t="shared" si="3"/>
        <v>0</v>
      </c>
      <c r="I16" s="25"/>
    </row>
    <row r="17" spans="1:9" ht="15.9" customHeight="1">
      <c r="A17" s="530"/>
      <c r="B17" s="193"/>
      <c r="C17" s="200"/>
      <c r="D17" s="200"/>
      <c r="E17" s="200"/>
      <c r="F17" s="203"/>
      <c r="G17" s="203"/>
      <c r="H17" s="160">
        <f t="shared" si="3"/>
        <v>0</v>
      </c>
      <c r="I17" s="25"/>
    </row>
    <row r="18" spans="1:9" ht="15.9" customHeight="1">
      <c r="A18" s="530"/>
      <c r="B18" s="193"/>
      <c r="C18" s="200"/>
      <c r="D18" s="200"/>
      <c r="E18" s="200"/>
      <c r="F18" s="203"/>
      <c r="G18" s="203"/>
      <c r="H18" s="160">
        <f t="shared" si="3"/>
        <v>0</v>
      </c>
      <c r="I18" s="25"/>
    </row>
    <row r="19" spans="1:9" ht="15.9" customHeight="1">
      <c r="A19" s="530"/>
      <c r="B19" s="193"/>
      <c r="C19" s="204"/>
      <c r="D19" s="205"/>
      <c r="E19" s="205"/>
      <c r="F19" s="206"/>
      <c r="G19" s="207"/>
      <c r="H19" s="227">
        <f t="shared" si="3"/>
        <v>0</v>
      </c>
      <c r="I19" s="228"/>
    </row>
    <row r="20" spans="1:9" ht="15.9" customHeight="1">
      <c r="A20" s="530"/>
      <c r="B20" s="209"/>
      <c r="C20" s="235"/>
      <c r="D20" s="235"/>
      <c r="E20" s="235"/>
      <c r="F20" s="233"/>
      <c r="G20" s="233"/>
      <c r="H20" s="234">
        <f>SUM(H3:H19)</f>
        <v>51700000</v>
      </c>
      <c r="I20" s="235"/>
    </row>
    <row r="21" spans="1:9" ht="15.9" customHeight="1">
      <c r="A21" s="530"/>
      <c r="B21" s="193" t="s">
        <v>144</v>
      </c>
      <c r="C21" s="194"/>
      <c r="D21" s="194"/>
      <c r="E21" s="194"/>
      <c r="F21" s="197"/>
      <c r="G21" s="197"/>
      <c r="H21" s="198">
        <f t="shared" si="3"/>
        <v>0</v>
      </c>
      <c r="I21" s="199"/>
    </row>
    <row r="22" spans="1:9" ht="15.9" customHeight="1">
      <c r="A22" s="530"/>
      <c r="B22" s="193" t="s">
        <v>145</v>
      </c>
      <c r="C22" s="200"/>
      <c r="D22" s="200"/>
      <c r="E22" s="200"/>
      <c r="F22" s="203"/>
      <c r="G22" s="203"/>
      <c r="H22" s="160">
        <f t="shared" si="3"/>
        <v>0</v>
      </c>
      <c r="I22" s="25"/>
    </row>
    <row r="23" spans="1:9" ht="15.9" customHeight="1">
      <c r="A23" s="530"/>
      <c r="B23" s="193"/>
      <c r="C23" s="200"/>
      <c r="D23" s="200"/>
      <c r="E23" s="200"/>
      <c r="F23" s="203"/>
      <c r="G23" s="203"/>
      <c r="H23" s="160">
        <f t="shared" si="3"/>
        <v>0</v>
      </c>
      <c r="I23" s="25"/>
    </row>
    <row r="24" spans="1:9" ht="15.9" customHeight="1">
      <c r="A24" s="530"/>
      <c r="B24" s="193"/>
      <c r="C24" s="200"/>
      <c r="D24" s="200"/>
      <c r="E24" s="200"/>
      <c r="F24" s="203"/>
      <c r="G24" s="203"/>
      <c r="H24" s="160">
        <f t="shared" si="3"/>
        <v>0</v>
      </c>
      <c r="I24" s="25"/>
    </row>
    <row r="25" spans="1:9" ht="15.9" customHeight="1">
      <c r="A25" s="530"/>
      <c r="B25" s="193"/>
      <c r="C25" s="204"/>
      <c r="D25" s="204"/>
      <c r="E25" s="204"/>
      <c r="F25" s="207"/>
      <c r="G25" s="207"/>
      <c r="H25" s="160">
        <f t="shared" si="3"/>
        <v>0</v>
      </c>
      <c r="I25" s="208"/>
    </row>
    <row r="26" spans="1:9" ht="15.9" customHeight="1">
      <c r="A26" s="530"/>
      <c r="B26" s="209"/>
      <c r="C26" s="210"/>
      <c r="D26" s="211"/>
      <c r="E26" s="211"/>
      <c r="F26" s="270"/>
      <c r="G26" s="213"/>
      <c r="H26" s="214">
        <f>SUM(H21:H25)</f>
        <v>0</v>
      </c>
      <c r="I26" s="215"/>
    </row>
    <row r="27" spans="1:9" ht="15.9" customHeight="1">
      <c r="A27" s="530"/>
      <c r="B27" s="236" t="s">
        <v>146</v>
      </c>
      <c r="C27" s="323" t="s">
        <v>363</v>
      </c>
      <c r="D27" s="267" t="s">
        <v>364</v>
      </c>
      <c r="E27" s="264" t="s">
        <v>167</v>
      </c>
      <c r="F27" s="264">
        <v>1</v>
      </c>
      <c r="G27" s="269">
        <v>500000</v>
      </c>
      <c r="H27" s="381">
        <f t="shared" ref="H27:H36" si="4">IF(F27=0,G27,G27*F27)</f>
        <v>500000</v>
      </c>
      <c r="I27" s="398" t="s">
        <v>205</v>
      </c>
    </row>
    <row r="28" spans="1:9" ht="15.9" customHeight="1">
      <c r="A28" s="530"/>
      <c r="B28" s="193" t="s">
        <v>147</v>
      </c>
      <c r="C28" s="267" t="s">
        <v>349</v>
      </c>
      <c r="D28" s="267" t="s">
        <v>365</v>
      </c>
      <c r="E28" s="264" t="s">
        <v>167</v>
      </c>
      <c r="F28" s="264">
        <v>1</v>
      </c>
      <c r="G28" s="269">
        <v>300000</v>
      </c>
      <c r="H28" s="381">
        <f t="shared" si="4"/>
        <v>300000</v>
      </c>
      <c r="I28" s="398" t="s">
        <v>205</v>
      </c>
    </row>
    <row r="29" spans="1:9" ht="15.9" customHeight="1">
      <c r="A29" s="530"/>
      <c r="B29" s="193"/>
      <c r="C29" s="267" t="s">
        <v>353</v>
      </c>
      <c r="D29" s="267" t="s">
        <v>366</v>
      </c>
      <c r="E29" s="264" t="s">
        <v>167</v>
      </c>
      <c r="F29" s="264">
        <v>5</v>
      </c>
      <c r="G29" s="269">
        <v>60000</v>
      </c>
      <c r="H29" s="381">
        <f t="shared" si="4"/>
        <v>300000</v>
      </c>
      <c r="I29" s="398" t="s">
        <v>205</v>
      </c>
    </row>
    <row r="30" spans="1:9" ht="15.9" customHeight="1">
      <c r="A30" s="530"/>
      <c r="B30" s="193"/>
      <c r="C30" s="323" t="s">
        <v>367</v>
      </c>
      <c r="D30" s="267" t="s">
        <v>368</v>
      </c>
      <c r="E30" s="264" t="s">
        <v>167</v>
      </c>
      <c r="F30" s="264">
        <v>1</v>
      </c>
      <c r="G30" s="269">
        <v>30000</v>
      </c>
      <c r="H30" s="381">
        <f t="shared" si="4"/>
        <v>30000</v>
      </c>
      <c r="I30" s="398" t="s">
        <v>205</v>
      </c>
    </row>
    <row r="31" spans="1:9" ht="15.9" customHeight="1">
      <c r="A31" s="530"/>
      <c r="B31" s="193"/>
      <c r="C31" s="267" t="s">
        <v>369</v>
      </c>
      <c r="D31" s="267" t="s">
        <v>370</v>
      </c>
      <c r="E31" s="264" t="s">
        <v>167</v>
      </c>
      <c r="F31" s="264">
        <v>1</v>
      </c>
      <c r="G31" s="269">
        <v>100000</v>
      </c>
      <c r="H31" s="381">
        <f t="shared" si="4"/>
        <v>100000</v>
      </c>
      <c r="I31" s="398" t="s">
        <v>205</v>
      </c>
    </row>
    <row r="32" spans="1:9" ht="15.9" customHeight="1">
      <c r="A32" s="530"/>
      <c r="B32" s="193"/>
      <c r="C32" s="323" t="s">
        <v>371</v>
      </c>
      <c r="D32" s="267" t="s">
        <v>372</v>
      </c>
      <c r="E32" s="264" t="s">
        <v>167</v>
      </c>
      <c r="F32" s="264">
        <v>1</v>
      </c>
      <c r="G32" s="269">
        <v>150000</v>
      </c>
      <c r="H32" s="381">
        <f t="shared" si="4"/>
        <v>150000</v>
      </c>
      <c r="I32" s="398" t="s">
        <v>205</v>
      </c>
    </row>
    <row r="33" spans="1:9" ht="15.9" customHeight="1">
      <c r="A33" s="530"/>
      <c r="B33" s="193"/>
      <c r="C33" s="267" t="s">
        <v>373</v>
      </c>
      <c r="D33" s="267" t="s">
        <v>374</v>
      </c>
      <c r="E33" s="264" t="s">
        <v>167</v>
      </c>
      <c r="F33" s="264">
        <v>1</v>
      </c>
      <c r="G33" s="269">
        <v>90000</v>
      </c>
      <c r="H33" s="381">
        <f t="shared" si="4"/>
        <v>90000</v>
      </c>
      <c r="I33" s="398" t="s">
        <v>205</v>
      </c>
    </row>
    <row r="34" spans="1:9" ht="15.9" customHeight="1">
      <c r="A34" s="530"/>
      <c r="B34" s="193"/>
      <c r="C34" s="267" t="s">
        <v>375</v>
      </c>
      <c r="D34" s="267" t="s">
        <v>376</v>
      </c>
      <c r="E34" s="264" t="s">
        <v>167</v>
      </c>
      <c r="F34" s="264">
        <v>1</v>
      </c>
      <c r="G34" s="269">
        <v>80000</v>
      </c>
      <c r="H34" s="381">
        <f t="shared" si="4"/>
        <v>80000</v>
      </c>
      <c r="I34" s="398" t="s">
        <v>205</v>
      </c>
    </row>
    <row r="35" spans="1:9" ht="15.9" customHeight="1">
      <c r="A35" s="530"/>
      <c r="B35" s="193"/>
      <c r="C35" s="323" t="s">
        <v>377</v>
      </c>
      <c r="D35" s="267" t="s">
        <v>378</v>
      </c>
      <c r="E35" s="264" t="s">
        <v>167</v>
      </c>
      <c r="F35" s="264">
        <v>2</v>
      </c>
      <c r="G35" s="269">
        <v>500000</v>
      </c>
      <c r="H35" s="381">
        <f t="shared" si="4"/>
        <v>1000000</v>
      </c>
      <c r="I35" s="398" t="s">
        <v>205</v>
      </c>
    </row>
    <row r="36" spans="1:9" ht="15.9" customHeight="1">
      <c r="A36" s="530"/>
      <c r="B36" s="193"/>
      <c r="C36" s="323" t="s">
        <v>377</v>
      </c>
      <c r="D36" s="267" t="s">
        <v>379</v>
      </c>
      <c r="E36" s="264" t="s">
        <v>167</v>
      </c>
      <c r="F36" s="264">
        <v>2</v>
      </c>
      <c r="G36" s="269">
        <v>100000</v>
      </c>
      <c r="H36" s="381">
        <f t="shared" si="4"/>
        <v>200000</v>
      </c>
      <c r="I36" s="398" t="s">
        <v>205</v>
      </c>
    </row>
    <row r="37" spans="1:9" ht="15.9" customHeight="1">
      <c r="A37" s="530"/>
      <c r="B37" s="193"/>
      <c r="C37" s="267" t="s">
        <v>165</v>
      </c>
      <c r="D37" s="264" t="s">
        <v>235</v>
      </c>
      <c r="E37" s="264" t="s">
        <v>167</v>
      </c>
      <c r="F37" s="271">
        <v>3</v>
      </c>
      <c r="G37" s="269">
        <v>1000000</v>
      </c>
      <c r="H37" s="160">
        <f t="shared" ref="H37:H38" si="5">IF(F37=0,G37,G37*F37)</f>
        <v>3000000</v>
      </c>
      <c r="I37" s="272" t="s">
        <v>207</v>
      </c>
    </row>
    <row r="38" spans="1:9" ht="15.9" customHeight="1">
      <c r="A38" s="530"/>
      <c r="B38" s="193"/>
      <c r="C38" s="267" t="s">
        <v>166</v>
      </c>
      <c r="D38" s="264" t="s">
        <v>247</v>
      </c>
      <c r="E38" s="264" t="s">
        <v>167</v>
      </c>
      <c r="F38" s="271">
        <v>3</v>
      </c>
      <c r="G38" s="269">
        <v>2500000</v>
      </c>
      <c r="H38" s="160">
        <f t="shared" si="5"/>
        <v>7500000</v>
      </c>
      <c r="I38" s="272" t="s">
        <v>208</v>
      </c>
    </row>
    <row r="39" spans="1:9" ht="15.9" customHeight="1">
      <c r="A39" s="530"/>
      <c r="B39" s="193"/>
      <c r="C39" s="200" t="s">
        <v>209</v>
      </c>
      <c r="D39" s="264" t="s">
        <v>210</v>
      </c>
      <c r="E39" s="264" t="s">
        <v>167</v>
      </c>
      <c r="F39" s="268">
        <v>5</v>
      </c>
      <c r="G39" s="203">
        <v>500000</v>
      </c>
      <c r="H39" s="160">
        <f t="shared" si="3"/>
        <v>2500000</v>
      </c>
      <c r="I39" s="272" t="s">
        <v>215</v>
      </c>
    </row>
    <row r="40" spans="1:9" ht="15.9" customHeight="1">
      <c r="A40" s="530"/>
      <c r="B40" s="193"/>
      <c r="C40" s="200" t="s">
        <v>168</v>
      </c>
      <c r="D40" s="264" t="s">
        <v>211</v>
      </c>
      <c r="E40" s="264" t="s">
        <v>167</v>
      </c>
      <c r="F40" s="271">
        <v>2</v>
      </c>
      <c r="G40" s="203">
        <v>2500000</v>
      </c>
      <c r="H40" s="160">
        <f t="shared" si="3"/>
        <v>5000000</v>
      </c>
      <c r="I40" s="272" t="s">
        <v>216</v>
      </c>
    </row>
    <row r="41" spans="1:9" ht="15.9" customHeight="1">
      <c r="A41" s="530"/>
      <c r="B41" s="193"/>
      <c r="C41" s="200" t="s">
        <v>224</v>
      </c>
      <c r="D41" s="264" t="s">
        <v>291</v>
      </c>
      <c r="E41" s="264" t="s">
        <v>167</v>
      </c>
      <c r="F41" s="268">
        <v>2</v>
      </c>
      <c r="G41" s="203">
        <v>6500000</v>
      </c>
      <c r="H41" s="160">
        <f t="shared" si="3"/>
        <v>13000000</v>
      </c>
      <c r="I41" s="272" t="s">
        <v>217</v>
      </c>
    </row>
    <row r="42" spans="1:9" ht="15.9" customHeight="1">
      <c r="A42" s="530"/>
      <c r="B42" s="193"/>
      <c r="C42" s="200" t="s">
        <v>172</v>
      </c>
      <c r="D42" s="264" t="s">
        <v>254</v>
      </c>
      <c r="E42" s="264" t="s">
        <v>167</v>
      </c>
      <c r="F42" s="268">
        <v>1</v>
      </c>
      <c r="G42" s="203">
        <v>7500000</v>
      </c>
      <c r="H42" s="160">
        <f t="shared" si="3"/>
        <v>7500000</v>
      </c>
      <c r="I42" s="272" t="s">
        <v>218</v>
      </c>
    </row>
    <row r="43" spans="1:9" ht="15.9" customHeight="1">
      <c r="A43" s="530"/>
      <c r="B43" s="193"/>
      <c r="C43" s="200" t="s">
        <v>189</v>
      </c>
      <c r="D43" s="201" t="s">
        <v>244</v>
      </c>
      <c r="E43" s="264" t="s">
        <v>167</v>
      </c>
      <c r="F43" s="268">
        <v>1</v>
      </c>
      <c r="G43" s="203">
        <v>1500000</v>
      </c>
      <c r="H43" s="160">
        <f t="shared" si="3"/>
        <v>1500000</v>
      </c>
      <c r="I43" s="272" t="s">
        <v>245</v>
      </c>
    </row>
    <row r="44" spans="1:9" ht="15.9" customHeight="1">
      <c r="A44" s="530"/>
      <c r="B44" s="193"/>
      <c r="C44" s="200"/>
      <c r="D44" s="267"/>
      <c r="E44" s="264"/>
      <c r="F44" s="268"/>
      <c r="G44" s="203"/>
      <c r="H44" s="160">
        <f t="shared" si="3"/>
        <v>0</v>
      </c>
      <c r="I44" s="25"/>
    </row>
    <row r="45" spans="1:9" ht="15.9" customHeight="1">
      <c r="A45" s="530"/>
      <c r="B45" s="193"/>
      <c r="C45" s="200"/>
      <c r="D45" s="267"/>
      <c r="E45" s="264"/>
      <c r="F45" s="268"/>
      <c r="G45" s="203"/>
      <c r="H45" s="160">
        <f t="shared" si="3"/>
        <v>0</v>
      </c>
      <c r="I45" s="25"/>
    </row>
    <row r="46" spans="1:9" ht="15.9" customHeight="1">
      <c r="A46" s="530"/>
      <c r="B46" s="193"/>
      <c r="C46" s="200"/>
      <c r="D46" s="267"/>
      <c r="E46" s="264"/>
      <c r="F46" s="268"/>
      <c r="G46" s="203"/>
      <c r="H46" s="160">
        <f t="shared" si="3"/>
        <v>0</v>
      </c>
      <c r="I46" s="25"/>
    </row>
    <row r="47" spans="1:9" ht="15.9" customHeight="1">
      <c r="A47" s="530"/>
      <c r="B47" s="193"/>
      <c r="C47" s="200"/>
      <c r="D47" s="267"/>
      <c r="E47" s="264"/>
      <c r="F47" s="268"/>
      <c r="G47" s="203"/>
      <c r="H47" s="160">
        <f t="shared" si="3"/>
        <v>0</v>
      </c>
      <c r="I47" s="25"/>
    </row>
    <row r="48" spans="1:9" ht="15.9" customHeight="1">
      <c r="A48" s="530"/>
      <c r="B48" s="193"/>
      <c r="C48" s="200"/>
      <c r="D48" s="267"/>
      <c r="E48" s="264"/>
      <c r="F48" s="268"/>
      <c r="G48" s="203"/>
      <c r="H48" s="160">
        <f t="shared" si="3"/>
        <v>0</v>
      </c>
      <c r="I48" s="25"/>
    </row>
    <row r="49" spans="1:9" ht="15.9" customHeight="1">
      <c r="A49" s="530"/>
      <c r="B49" s="193"/>
      <c r="C49" s="200"/>
      <c r="D49" s="267"/>
      <c r="E49" s="264"/>
      <c r="F49" s="268"/>
      <c r="G49" s="203"/>
      <c r="H49" s="160">
        <f t="shared" si="3"/>
        <v>0</v>
      </c>
      <c r="I49" s="25"/>
    </row>
    <row r="50" spans="1:9" ht="15.9" customHeight="1">
      <c r="A50" s="530"/>
      <c r="B50" s="193"/>
      <c r="C50" s="200"/>
      <c r="D50" s="267"/>
      <c r="E50" s="264"/>
      <c r="F50" s="268"/>
      <c r="G50" s="203"/>
      <c r="H50" s="160">
        <f t="shared" si="3"/>
        <v>0</v>
      </c>
      <c r="I50" s="25"/>
    </row>
    <row r="51" spans="1:9" ht="15.9" customHeight="1">
      <c r="A51" s="530"/>
      <c r="B51" s="193"/>
      <c r="C51" s="200"/>
      <c r="D51" s="200"/>
      <c r="E51" s="201"/>
      <c r="F51" s="203"/>
      <c r="G51" s="203"/>
      <c r="H51" s="160">
        <f t="shared" si="3"/>
        <v>0</v>
      </c>
      <c r="I51" s="25"/>
    </row>
    <row r="52" spans="1:9" ht="15.9" customHeight="1">
      <c r="A52" s="530"/>
      <c r="B52" s="193"/>
      <c r="C52" s="204"/>
      <c r="D52" s="204"/>
      <c r="E52" s="205"/>
      <c r="F52" s="206"/>
      <c r="G52" s="207"/>
      <c r="H52" s="161">
        <f t="shared" si="3"/>
        <v>0</v>
      </c>
      <c r="I52" s="208"/>
    </row>
    <row r="53" spans="1:9" ht="15.9" customHeight="1">
      <c r="A53" s="530"/>
      <c r="B53" s="209"/>
      <c r="C53" s="210"/>
      <c r="D53" s="211"/>
      <c r="E53" s="211"/>
      <c r="F53" s="213"/>
      <c r="G53" s="213"/>
      <c r="H53" s="214">
        <f>SUM(H27:H52)</f>
        <v>42750000</v>
      </c>
      <c r="I53" s="215"/>
    </row>
    <row r="54" spans="1:9" ht="15.9" customHeight="1">
      <c r="A54" s="530"/>
      <c r="B54" s="236" t="s">
        <v>49</v>
      </c>
      <c r="C54" s="200"/>
      <c r="D54" s="264"/>
      <c r="E54" s="264"/>
      <c r="F54" s="268"/>
      <c r="G54" s="203"/>
      <c r="H54" s="221">
        <f t="shared" si="3"/>
        <v>0</v>
      </c>
      <c r="I54" s="222"/>
    </row>
    <row r="55" spans="1:9" ht="15.9" customHeight="1">
      <c r="A55" s="530"/>
      <c r="B55" s="193"/>
      <c r="C55" s="200"/>
      <c r="D55" s="264"/>
      <c r="E55" s="264"/>
      <c r="F55" s="268"/>
      <c r="G55" s="203"/>
      <c r="H55" s="160">
        <f t="shared" si="3"/>
        <v>0</v>
      </c>
      <c r="I55" s="25"/>
    </row>
    <row r="56" spans="1:9" ht="15.9" customHeight="1">
      <c r="A56" s="530"/>
      <c r="B56" s="193"/>
      <c r="C56" s="200"/>
      <c r="D56" s="200"/>
      <c r="E56" s="200"/>
      <c r="F56" s="203"/>
      <c r="G56" s="203"/>
      <c r="H56" s="160">
        <f t="shared" si="3"/>
        <v>0</v>
      </c>
      <c r="I56" s="25"/>
    </row>
    <row r="57" spans="1:9" ht="15.9" customHeight="1">
      <c r="A57" s="530"/>
      <c r="B57" s="193"/>
      <c r="C57" s="200"/>
      <c r="D57" s="200"/>
      <c r="E57" s="200"/>
      <c r="F57" s="203"/>
      <c r="G57" s="203"/>
      <c r="H57" s="160">
        <f t="shared" si="3"/>
        <v>0</v>
      </c>
      <c r="I57" s="25"/>
    </row>
    <row r="58" spans="1:9" ht="15.9" customHeight="1">
      <c r="A58" s="530"/>
      <c r="B58" s="193"/>
      <c r="C58" s="200"/>
      <c r="D58" s="200"/>
      <c r="E58" s="200"/>
      <c r="F58" s="203"/>
      <c r="G58" s="203"/>
      <c r="H58" s="160">
        <f t="shared" si="3"/>
        <v>0</v>
      </c>
      <c r="I58" s="25"/>
    </row>
    <row r="59" spans="1:9" ht="15.9" customHeight="1">
      <c r="A59" s="530"/>
      <c r="B59" s="193"/>
      <c r="C59" s="200"/>
      <c r="D59" s="200"/>
      <c r="E59" s="200"/>
      <c r="F59" s="203"/>
      <c r="G59" s="203"/>
      <c r="H59" s="160">
        <f t="shared" si="3"/>
        <v>0</v>
      </c>
      <c r="I59" s="25"/>
    </row>
    <row r="60" spans="1:9" ht="15.9" customHeight="1">
      <c r="A60" s="530"/>
      <c r="B60" s="193"/>
      <c r="C60" s="204"/>
      <c r="D60" s="204"/>
      <c r="E60" s="204"/>
      <c r="F60" s="207"/>
      <c r="G60" s="207"/>
      <c r="H60" s="161">
        <f t="shared" si="3"/>
        <v>0</v>
      </c>
      <c r="I60" s="208"/>
    </row>
    <row r="61" spans="1:9" ht="15.9" customHeight="1">
      <c r="A61" s="530"/>
      <c r="B61" s="209"/>
      <c r="C61" s="210"/>
      <c r="D61" s="211"/>
      <c r="E61" s="211"/>
      <c r="F61" s="213"/>
      <c r="G61" s="213"/>
      <c r="H61" s="214">
        <f>SUM(H54:H60)</f>
        <v>0</v>
      </c>
      <c r="I61" s="215"/>
    </row>
    <row r="62" spans="1:9" ht="15.9" customHeight="1">
      <c r="A62" s="237"/>
      <c r="B62" s="238" t="s">
        <v>129</v>
      </c>
      <c r="C62" s="239"/>
      <c r="D62" s="215"/>
      <c r="E62" s="215"/>
      <c r="F62" s="241"/>
      <c r="G62" s="241"/>
      <c r="H62" s="214">
        <f>SUM(H61,H53,H26,H20)</f>
        <v>94450000</v>
      </c>
      <c r="I62" s="215"/>
    </row>
    <row r="63" spans="1:9" ht="15.9" customHeight="1">
      <c r="A63" s="531" t="s">
        <v>130</v>
      </c>
      <c r="B63" s="242" t="s">
        <v>55</v>
      </c>
      <c r="C63" s="239"/>
      <c r="D63" s="215"/>
      <c r="E63" s="242" t="s">
        <v>56</v>
      </c>
      <c r="F63" s="259"/>
      <c r="G63" s="245"/>
      <c r="H63" s="246">
        <f>F63*G63</f>
        <v>0</v>
      </c>
      <c r="I63" s="215"/>
    </row>
    <row r="64" spans="1:9" ht="15.9" customHeight="1">
      <c r="A64" s="530"/>
      <c r="B64" s="247" t="s">
        <v>148</v>
      </c>
      <c r="C64" s="248"/>
      <c r="D64" s="222"/>
      <c r="E64" s="247" t="s">
        <v>132</v>
      </c>
      <c r="F64" s="219">
        <v>30</v>
      </c>
      <c r="G64" s="220">
        <v>300000</v>
      </c>
      <c r="H64" s="221">
        <f t="shared" ref="H64:H70" si="6">F64*G64</f>
        <v>9000000</v>
      </c>
      <c r="I64" s="222"/>
    </row>
    <row r="65" spans="1:9" ht="15.9" customHeight="1">
      <c r="A65" s="530"/>
      <c r="B65" s="281" t="s">
        <v>149</v>
      </c>
      <c r="C65" s="251"/>
      <c r="D65" s="25"/>
      <c r="E65" s="250" t="s">
        <v>132</v>
      </c>
      <c r="F65" s="268">
        <v>30</v>
      </c>
      <c r="G65" s="203">
        <v>300000</v>
      </c>
      <c r="H65" s="160">
        <f t="shared" si="6"/>
        <v>9000000</v>
      </c>
      <c r="I65" s="25"/>
    </row>
    <row r="66" spans="1:9" ht="15.9" customHeight="1">
      <c r="A66" s="530"/>
      <c r="B66" s="250" t="s">
        <v>150</v>
      </c>
      <c r="C66" s="251"/>
      <c r="D66" s="25"/>
      <c r="E66" s="250" t="s">
        <v>132</v>
      </c>
      <c r="F66" s="268">
        <v>40</v>
      </c>
      <c r="G66" s="203">
        <v>300000</v>
      </c>
      <c r="H66" s="160">
        <f t="shared" si="6"/>
        <v>12000000</v>
      </c>
      <c r="I66" s="25"/>
    </row>
    <row r="67" spans="1:9" ht="15.9" customHeight="1">
      <c r="A67" s="530"/>
      <c r="B67" s="250" t="s">
        <v>151</v>
      </c>
      <c r="C67" s="251"/>
      <c r="D67" s="25"/>
      <c r="E67" s="250" t="s">
        <v>132</v>
      </c>
      <c r="F67" s="203"/>
      <c r="G67" s="203"/>
      <c r="H67" s="160">
        <f t="shared" si="6"/>
        <v>0</v>
      </c>
      <c r="I67" s="25"/>
    </row>
    <row r="68" spans="1:9" ht="15.9" customHeight="1">
      <c r="A68" s="530"/>
      <c r="B68" s="250" t="s">
        <v>152</v>
      </c>
      <c r="C68" s="251"/>
      <c r="D68" s="25"/>
      <c r="E68" s="250" t="s">
        <v>132</v>
      </c>
      <c r="F68" s="203"/>
      <c r="G68" s="203"/>
      <c r="H68" s="160">
        <f t="shared" si="6"/>
        <v>0</v>
      </c>
      <c r="I68" s="25"/>
    </row>
    <row r="69" spans="1:9" ht="15.9" customHeight="1">
      <c r="A69" s="530"/>
      <c r="B69" s="250" t="s">
        <v>153</v>
      </c>
      <c r="C69" s="251"/>
      <c r="D69" s="25"/>
      <c r="E69" s="250" t="s">
        <v>132</v>
      </c>
      <c r="F69" s="203"/>
      <c r="G69" s="203"/>
      <c r="H69" s="160">
        <f t="shared" si="6"/>
        <v>0</v>
      </c>
      <c r="I69" s="25"/>
    </row>
    <row r="70" spans="1:9" ht="15.9" customHeight="1">
      <c r="A70" s="530"/>
      <c r="B70" s="253" t="s">
        <v>157</v>
      </c>
      <c r="C70" s="254"/>
      <c r="D70" s="208"/>
      <c r="E70" s="253" t="s">
        <v>132</v>
      </c>
      <c r="F70" s="207"/>
      <c r="G70" s="207"/>
      <c r="H70" s="161">
        <f t="shared" si="6"/>
        <v>0</v>
      </c>
      <c r="I70" s="208"/>
    </row>
    <row r="71" spans="1:9" ht="15.9" customHeight="1">
      <c r="A71" s="237"/>
      <c r="B71" s="256" t="s">
        <v>138</v>
      </c>
      <c r="C71" s="239"/>
      <c r="D71" s="215"/>
      <c r="E71" s="215"/>
      <c r="F71" s="213"/>
      <c r="G71" s="213"/>
      <c r="H71" s="213">
        <f>SUM(H63:H70)</f>
        <v>30000000</v>
      </c>
      <c r="I71" s="211"/>
    </row>
    <row r="72" spans="1:9" ht="15.9" customHeight="1">
      <c r="A72" s="243"/>
      <c r="B72" s="256" t="s">
        <v>155</v>
      </c>
      <c r="C72" s="239"/>
      <c r="D72" s="215"/>
      <c r="E72" s="215"/>
      <c r="F72" s="214"/>
      <c r="G72" s="214"/>
      <c r="H72" s="241">
        <f>'단위공사별(집계)'!I10+'단위공사별(집계)'!L10</f>
        <v>2886410.638010012</v>
      </c>
      <c r="I72" s="215"/>
    </row>
    <row r="73" spans="1:9" ht="15.9" customHeight="1">
      <c r="A73" s="243"/>
      <c r="B73" s="256" t="s">
        <v>80</v>
      </c>
      <c r="C73" s="239"/>
      <c r="D73" s="215"/>
      <c r="E73" s="215"/>
      <c r="F73" s="214"/>
      <c r="G73" s="258"/>
      <c r="H73" s="259"/>
      <c r="I73" s="239"/>
    </row>
    <row r="74" spans="1:9" ht="15.9" customHeight="1">
      <c r="A74" s="243"/>
      <c r="B74" s="256" t="s">
        <v>141</v>
      </c>
      <c r="C74" s="239"/>
      <c r="D74" s="215"/>
      <c r="E74" s="215"/>
      <c r="F74" s="214"/>
      <c r="G74" s="258"/>
      <c r="H74" s="259"/>
      <c r="I74" s="239"/>
    </row>
    <row r="75" spans="1:9" ht="15.9" customHeight="1">
      <c r="A75" s="243"/>
      <c r="B75" s="256" t="s">
        <v>142</v>
      </c>
      <c r="C75" s="239"/>
      <c r="D75" s="215"/>
      <c r="E75" s="215"/>
      <c r="F75" s="214"/>
      <c r="G75" s="214"/>
      <c r="H75" s="213">
        <f>H62+H71+H72+H73+H74</f>
        <v>127336410.63801001</v>
      </c>
      <c r="I75" s="215"/>
    </row>
    <row r="76" spans="1:9">
      <c r="A76" s="121"/>
    </row>
  </sheetData>
  <mergeCells count="3">
    <mergeCell ref="A2:B2"/>
    <mergeCell ref="A3:A61"/>
    <mergeCell ref="A63:A7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50"/>
    <pageSetUpPr fitToPage="1"/>
  </sheetPr>
  <dimension ref="A1:I69"/>
  <sheetViews>
    <sheetView zoomScale="115" zoomScaleNormal="115" workbookViewId="0">
      <pane xSplit="2" ySplit="2" topLeftCell="C47" activePane="bottomRight" state="frozen"/>
      <selection activeCell="K5" sqref="K5"/>
      <selection pane="topRight" activeCell="K5" sqref="K5"/>
      <selection pane="bottomLeft" activeCell="K5" sqref="K5"/>
      <selection pane="bottomRight" activeCell="H65" sqref="H65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30.19921875" style="115" customWidth="1"/>
    <col min="4" max="4" width="14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30.19921875" style="115" customWidth="1"/>
    <col min="260" max="260" width="14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30.19921875" style="115" customWidth="1"/>
    <col min="516" max="516" width="14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30.19921875" style="115" customWidth="1"/>
    <col min="772" max="772" width="14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30.19921875" style="115" customWidth="1"/>
    <col min="1028" max="1028" width="14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30.19921875" style="115" customWidth="1"/>
    <col min="1284" max="1284" width="14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30.19921875" style="115" customWidth="1"/>
    <col min="1540" max="1540" width="14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30.19921875" style="115" customWidth="1"/>
    <col min="1796" max="1796" width="14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30.19921875" style="115" customWidth="1"/>
    <col min="2052" max="2052" width="14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30.19921875" style="115" customWidth="1"/>
    <col min="2308" max="2308" width="14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30.19921875" style="115" customWidth="1"/>
    <col min="2564" max="2564" width="14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30.19921875" style="115" customWidth="1"/>
    <col min="2820" max="2820" width="14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30.19921875" style="115" customWidth="1"/>
    <col min="3076" max="3076" width="14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30.19921875" style="115" customWidth="1"/>
    <col min="3332" max="3332" width="14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30.19921875" style="115" customWidth="1"/>
    <col min="3588" max="3588" width="14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30.19921875" style="115" customWidth="1"/>
    <col min="3844" max="3844" width="14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30.19921875" style="115" customWidth="1"/>
    <col min="4100" max="4100" width="14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30.19921875" style="115" customWidth="1"/>
    <col min="4356" max="4356" width="14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30.19921875" style="115" customWidth="1"/>
    <col min="4612" max="4612" width="14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30.19921875" style="115" customWidth="1"/>
    <col min="4868" max="4868" width="14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30.19921875" style="115" customWidth="1"/>
    <col min="5124" max="5124" width="14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30.19921875" style="115" customWidth="1"/>
    <col min="5380" max="5380" width="14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30.19921875" style="115" customWidth="1"/>
    <col min="5636" max="5636" width="14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30.19921875" style="115" customWidth="1"/>
    <col min="5892" max="5892" width="14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30.19921875" style="115" customWidth="1"/>
    <col min="6148" max="6148" width="14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30.19921875" style="115" customWidth="1"/>
    <col min="6404" max="6404" width="14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30.19921875" style="115" customWidth="1"/>
    <col min="6660" max="6660" width="14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30.19921875" style="115" customWidth="1"/>
    <col min="6916" max="6916" width="14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30.19921875" style="115" customWidth="1"/>
    <col min="7172" max="7172" width="14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30.19921875" style="115" customWidth="1"/>
    <col min="7428" max="7428" width="14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30.19921875" style="115" customWidth="1"/>
    <col min="7684" max="7684" width="14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30.19921875" style="115" customWidth="1"/>
    <col min="7940" max="7940" width="14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30.19921875" style="115" customWidth="1"/>
    <col min="8196" max="8196" width="14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30.19921875" style="115" customWidth="1"/>
    <col min="8452" max="8452" width="14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30.19921875" style="115" customWidth="1"/>
    <col min="8708" max="8708" width="14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30.19921875" style="115" customWidth="1"/>
    <col min="8964" max="8964" width="14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30.19921875" style="115" customWidth="1"/>
    <col min="9220" max="9220" width="14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30.19921875" style="115" customWidth="1"/>
    <col min="9476" max="9476" width="14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30.19921875" style="115" customWidth="1"/>
    <col min="9732" max="9732" width="14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30.19921875" style="115" customWidth="1"/>
    <col min="9988" max="9988" width="14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30.19921875" style="115" customWidth="1"/>
    <col min="10244" max="10244" width="14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30.19921875" style="115" customWidth="1"/>
    <col min="10500" max="10500" width="14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30.19921875" style="115" customWidth="1"/>
    <col min="10756" max="10756" width="14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30.19921875" style="115" customWidth="1"/>
    <col min="11012" max="11012" width="14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30.19921875" style="115" customWidth="1"/>
    <col min="11268" max="11268" width="14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30.19921875" style="115" customWidth="1"/>
    <col min="11524" max="11524" width="14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30.19921875" style="115" customWidth="1"/>
    <col min="11780" max="11780" width="14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30.19921875" style="115" customWidth="1"/>
    <col min="12036" max="12036" width="14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30.19921875" style="115" customWidth="1"/>
    <col min="12292" max="12292" width="14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30.19921875" style="115" customWidth="1"/>
    <col min="12548" max="12548" width="14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30.19921875" style="115" customWidth="1"/>
    <col min="12804" max="12804" width="14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30.19921875" style="115" customWidth="1"/>
    <col min="13060" max="13060" width="14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30.19921875" style="115" customWidth="1"/>
    <col min="13316" max="13316" width="14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30.19921875" style="115" customWidth="1"/>
    <col min="13572" max="13572" width="14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30.19921875" style="115" customWidth="1"/>
    <col min="13828" max="13828" width="14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30.19921875" style="115" customWidth="1"/>
    <col min="14084" max="14084" width="14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30.19921875" style="115" customWidth="1"/>
    <col min="14340" max="14340" width="14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30.19921875" style="115" customWidth="1"/>
    <col min="14596" max="14596" width="14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30.19921875" style="115" customWidth="1"/>
    <col min="14852" max="14852" width="14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30.19921875" style="115" customWidth="1"/>
    <col min="15108" max="15108" width="14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30.19921875" style="115" customWidth="1"/>
    <col min="15364" max="15364" width="14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30.19921875" style="115" customWidth="1"/>
    <col min="15620" max="15620" width="14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30.19921875" style="115" customWidth="1"/>
    <col min="15876" max="15876" width="14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30.19921875" style="115" customWidth="1"/>
    <col min="16132" max="16132" width="14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 t="s">
        <v>187</v>
      </c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 t="s">
        <v>239</v>
      </c>
      <c r="D3" s="264"/>
      <c r="E3" s="201" t="s">
        <v>167</v>
      </c>
      <c r="F3" s="202">
        <v>2</v>
      </c>
      <c r="G3" s="269">
        <v>4000000</v>
      </c>
      <c r="H3" s="160">
        <f>IF(F3=0,G3,G3*F3)</f>
        <v>8000000</v>
      </c>
      <c r="I3" s="272" t="s">
        <v>236</v>
      </c>
    </row>
    <row r="4" spans="1:9" ht="15.9" customHeight="1">
      <c r="A4" s="527"/>
      <c r="B4" s="193"/>
      <c r="C4" s="267" t="s">
        <v>188</v>
      </c>
      <c r="D4" s="267"/>
      <c r="E4" s="201" t="s">
        <v>167</v>
      </c>
      <c r="F4" s="202">
        <v>1</v>
      </c>
      <c r="G4" s="269">
        <v>20000000</v>
      </c>
      <c r="H4" s="160">
        <f>IF(F4=0,G4,G4*F4)</f>
        <v>20000000</v>
      </c>
      <c r="I4" s="272" t="s">
        <v>236</v>
      </c>
    </row>
    <row r="5" spans="1:9" ht="15.9" customHeight="1">
      <c r="A5" s="530"/>
      <c r="B5" s="193"/>
      <c r="C5" s="267" t="s">
        <v>242</v>
      </c>
      <c r="D5" s="267"/>
      <c r="E5" s="201" t="s">
        <v>167</v>
      </c>
      <c r="F5" s="202">
        <v>1</v>
      </c>
      <c r="G5" s="269">
        <v>5000000</v>
      </c>
      <c r="H5" s="160">
        <f t="shared" ref="H5" si="0">IF(F5=0,G5,G5*F5)</f>
        <v>5000000</v>
      </c>
      <c r="I5" s="272" t="s">
        <v>236</v>
      </c>
    </row>
    <row r="6" spans="1:9" ht="15.9" customHeight="1">
      <c r="A6" s="530"/>
      <c r="B6" s="193"/>
      <c r="C6" s="267" t="s">
        <v>190</v>
      </c>
      <c r="D6" s="267"/>
      <c r="E6" s="201" t="s">
        <v>167</v>
      </c>
      <c r="F6" s="202">
        <v>1</v>
      </c>
      <c r="G6" s="269">
        <v>10000000</v>
      </c>
      <c r="H6" s="160">
        <f>F6*G6</f>
        <v>10000000</v>
      </c>
      <c r="I6" s="272" t="s">
        <v>236</v>
      </c>
    </row>
    <row r="7" spans="1:9" ht="15.9" customHeight="1">
      <c r="A7" s="530"/>
      <c r="B7" s="193"/>
      <c r="C7" s="267" t="s">
        <v>237</v>
      </c>
      <c r="D7" s="267"/>
      <c r="E7" s="201" t="s">
        <v>167</v>
      </c>
      <c r="F7" s="202">
        <v>2</v>
      </c>
      <c r="G7" s="269">
        <v>4000000</v>
      </c>
      <c r="H7" s="160">
        <f t="shared" ref="H7" si="1">F7*G7</f>
        <v>8000000</v>
      </c>
      <c r="I7" s="272" t="s">
        <v>236</v>
      </c>
    </row>
    <row r="8" spans="1:9" ht="15.9" customHeight="1">
      <c r="A8" s="530"/>
      <c r="B8" s="193"/>
      <c r="C8" s="267" t="s">
        <v>175</v>
      </c>
      <c r="D8" s="267"/>
      <c r="E8" s="201" t="s">
        <v>167</v>
      </c>
      <c r="F8" s="202">
        <v>2</v>
      </c>
      <c r="G8" s="269">
        <v>3500000</v>
      </c>
      <c r="H8" s="160">
        <f t="shared" ref="H8:H11" si="2">IF(F8=0,G8,G8*F8)</f>
        <v>7000000</v>
      </c>
      <c r="I8" s="272" t="s">
        <v>236</v>
      </c>
    </row>
    <row r="9" spans="1:9" ht="15.9" customHeight="1">
      <c r="A9" s="530"/>
      <c r="B9" s="193"/>
      <c r="C9" s="267" t="s">
        <v>231</v>
      </c>
      <c r="D9" s="267"/>
      <c r="E9" s="201" t="s">
        <v>167</v>
      </c>
      <c r="F9" s="268">
        <v>1</v>
      </c>
      <c r="G9" s="203">
        <v>1200000</v>
      </c>
      <c r="H9" s="160">
        <f t="shared" si="2"/>
        <v>1200000</v>
      </c>
      <c r="I9" s="272" t="s">
        <v>222</v>
      </c>
    </row>
    <row r="10" spans="1:9" ht="15.9" customHeight="1">
      <c r="A10" s="530"/>
      <c r="B10" s="193"/>
      <c r="C10" s="267" t="s">
        <v>246</v>
      </c>
      <c r="D10" s="267"/>
      <c r="E10" s="201" t="s">
        <v>167</v>
      </c>
      <c r="F10" s="268">
        <v>1</v>
      </c>
      <c r="G10" s="269">
        <v>500000</v>
      </c>
      <c r="H10" s="160">
        <f t="shared" si="2"/>
        <v>500000</v>
      </c>
      <c r="I10" s="272" t="s">
        <v>222</v>
      </c>
    </row>
    <row r="11" spans="1:9" ht="15.9" customHeight="1">
      <c r="A11" s="530"/>
      <c r="B11" s="193"/>
      <c r="C11" s="267" t="s">
        <v>221</v>
      </c>
      <c r="D11" s="267"/>
      <c r="E11" s="201" t="s">
        <v>167</v>
      </c>
      <c r="F11" s="268">
        <v>1</v>
      </c>
      <c r="G11" s="269">
        <v>1000000</v>
      </c>
      <c r="H11" s="160">
        <f t="shared" si="2"/>
        <v>1000000</v>
      </c>
      <c r="I11" s="272" t="s">
        <v>222</v>
      </c>
    </row>
    <row r="12" spans="1:9" ht="15.9" customHeight="1">
      <c r="A12" s="530"/>
      <c r="B12" s="193"/>
      <c r="C12" s="267"/>
      <c r="D12" s="267"/>
      <c r="E12" s="201"/>
      <c r="F12" s="268"/>
      <c r="G12" s="269"/>
      <c r="H12" s="160">
        <f t="shared" ref="H12" si="3">IF(F12=0,G12,G12*F12)</f>
        <v>0</v>
      </c>
      <c r="I12" s="272"/>
    </row>
    <row r="13" spans="1:9" ht="15.9" customHeight="1">
      <c r="A13" s="530"/>
      <c r="B13" s="193"/>
      <c r="C13" s="267"/>
      <c r="D13" s="267"/>
      <c r="E13" s="201"/>
      <c r="F13" s="268"/>
      <c r="G13" s="269"/>
      <c r="H13" s="160">
        <f t="shared" ref="H13" si="4">IF(F13=0,G13,G13*F13)</f>
        <v>0</v>
      </c>
      <c r="I13" s="272"/>
    </row>
    <row r="14" spans="1:9" ht="15.9" customHeight="1">
      <c r="A14" s="530"/>
      <c r="B14" s="193"/>
      <c r="C14" s="267"/>
      <c r="D14" s="267"/>
      <c r="E14" s="267"/>
      <c r="F14" s="203"/>
      <c r="G14" s="203"/>
      <c r="H14" s="160">
        <f t="shared" ref="H14:H53" si="5">IF(F14=0,G14,G14*F14)</f>
        <v>0</v>
      </c>
      <c r="I14" s="25"/>
    </row>
    <row r="15" spans="1:9" ht="15.9" customHeight="1">
      <c r="A15" s="530"/>
      <c r="B15" s="193"/>
      <c r="C15" s="200"/>
      <c r="D15" s="200"/>
      <c r="E15" s="200"/>
      <c r="F15" s="203"/>
      <c r="G15" s="203"/>
      <c r="H15" s="160">
        <f t="shared" si="5"/>
        <v>0</v>
      </c>
      <c r="I15" s="25"/>
    </row>
    <row r="16" spans="1:9" ht="15.9" customHeight="1">
      <c r="A16" s="530"/>
      <c r="B16" s="193"/>
      <c r="C16" s="200"/>
      <c r="D16" s="200"/>
      <c r="E16" s="200"/>
      <c r="F16" s="203"/>
      <c r="G16" s="203"/>
      <c r="H16" s="160">
        <f t="shared" si="5"/>
        <v>0</v>
      </c>
      <c r="I16" s="25"/>
    </row>
    <row r="17" spans="1:9" ht="15.9" customHeight="1">
      <c r="A17" s="530"/>
      <c r="B17" s="193"/>
      <c r="C17" s="204"/>
      <c r="D17" s="205"/>
      <c r="E17" s="205"/>
      <c r="F17" s="206"/>
      <c r="G17" s="207"/>
      <c r="H17" s="227">
        <f t="shared" si="5"/>
        <v>0</v>
      </c>
      <c r="I17" s="228"/>
    </row>
    <row r="18" spans="1:9" ht="15.9" customHeight="1">
      <c r="A18" s="530"/>
      <c r="B18" s="209"/>
      <c r="C18" s="235"/>
      <c r="D18" s="235"/>
      <c r="E18" s="235"/>
      <c r="F18" s="233"/>
      <c r="G18" s="233"/>
      <c r="H18" s="234">
        <f>SUM(H3:H17)</f>
        <v>60700000</v>
      </c>
      <c r="I18" s="235"/>
    </row>
    <row r="19" spans="1:9" ht="15.9" customHeight="1">
      <c r="A19" s="530"/>
      <c r="B19" s="193" t="s">
        <v>144</v>
      </c>
      <c r="C19" s="194"/>
      <c r="D19" s="194"/>
      <c r="E19" s="194"/>
      <c r="F19" s="197"/>
      <c r="G19" s="197"/>
      <c r="H19" s="198">
        <f t="shared" si="5"/>
        <v>0</v>
      </c>
      <c r="I19" s="199"/>
    </row>
    <row r="20" spans="1:9" ht="15.9" customHeight="1">
      <c r="A20" s="530"/>
      <c r="B20" s="193" t="s">
        <v>145</v>
      </c>
      <c r="C20" s="200"/>
      <c r="D20" s="200"/>
      <c r="E20" s="200"/>
      <c r="F20" s="203"/>
      <c r="G20" s="203"/>
      <c r="H20" s="160">
        <f t="shared" si="5"/>
        <v>0</v>
      </c>
      <c r="I20" s="25"/>
    </row>
    <row r="21" spans="1:9" ht="15.9" customHeight="1">
      <c r="A21" s="530"/>
      <c r="B21" s="193"/>
      <c r="C21" s="200"/>
      <c r="D21" s="200"/>
      <c r="E21" s="200"/>
      <c r="F21" s="203"/>
      <c r="G21" s="203"/>
      <c r="H21" s="160">
        <f t="shared" si="5"/>
        <v>0</v>
      </c>
      <c r="I21" s="25"/>
    </row>
    <row r="22" spans="1:9" ht="15.9" customHeight="1">
      <c r="A22" s="530"/>
      <c r="B22" s="193"/>
      <c r="C22" s="200"/>
      <c r="D22" s="200"/>
      <c r="E22" s="200"/>
      <c r="F22" s="203"/>
      <c r="G22" s="203"/>
      <c r="H22" s="160">
        <f t="shared" si="5"/>
        <v>0</v>
      </c>
      <c r="I22" s="25"/>
    </row>
    <row r="23" spans="1:9" ht="15.9" customHeight="1">
      <c r="A23" s="530"/>
      <c r="B23" s="193"/>
      <c r="C23" s="204"/>
      <c r="D23" s="204"/>
      <c r="E23" s="204"/>
      <c r="F23" s="207"/>
      <c r="G23" s="207"/>
      <c r="H23" s="160">
        <f t="shared" si="5"/>
        <v>0</v>
      </c>
      <c r="I23" s="208"/>
    </row>
    <row r="24" spans="1:9" ht="15.9" customHeight="1">
      <c r="A24" s="530"/>
      <c r="B24" s="209"/>
      <c r="C24" s="210"/>
      <c r="D24" s="211"/>
      <c r="E24" s="211"/>
      <c r="F24" s="270"/>
      <c r="G24" s="213"/>
      <c r="H24" s="214">
        <f>SUM(H19:H23)</f>
        <v>0</v>
      </c>
      <c r="I24" s="215"/>
    </row>
    <row r="25" spans="1:9" ht="15.9" customHeight="1">
      <c r="A25" s="530"/>
      <c r="B25" s="236" t="s">
        <v>146</v>
      </c>
      <c r="C25" s="323" t="s">
        <v>363</v>
      </c>
      <c r="D25" s="267" t="s">
        <v>364</v>
      </c>
      <c r="E25" s="264" t="s">
        <v>167</v>
      </c>
      <c r="F25" s="264">
        <v>1</v>
      </c>
      <c r="G25" s="269">
        <v>500000</v>
      </c>
      <c r="H25" s="381">
        <f t="shared" ref="H25:H34" si="6">IF(F25=0,G25,G25*F25)</f>
        <v>500000</v>
      </c>
      <c r="I25" s="398" t="s">
        <v>205</v>
      </c>
    </row>
    <row r="26" spans="1:9" ht="15.9" customHeight="1">
      <c r="A26" s="530"/>
      <c r="B26" s="193" t="s">
        <v>147</v>
      </c>
      <c r="C26" s="267" t="s">
        <v>349</v>
      </c>
      <c r="D26" s="267" t="s">
        <v>365</v>
      </c>
      <c r="E26" s="264" t="s">
        <v>167</v>
      </c>
      <c r="F26" s="264">
        <v>1</v>
      </c>
      <c r="G26" s="269">
        <v>300000</v>
      </c>
      <c r="H26" s="381">
        <f t="shared" si="6"/>
        <v>300000</v>
      </c>
      <c r="I26" s="398" t="s">
        <v>205</v>
      </c>
    </row>
    <row r="27" spans="1:9" ht="15.9" customHeight="1">
      <c r="A27" s="530"/>
      <c r="B27" s="193"/>
      <c r="C27" s="267" t="s">
        <v>353</v>
      </c>
      <c r="D27" s="267" t="s">
        <v>366</v>
      </c>
      <c r="E27" s="264" t="s">
        <v>167</v>
      </c>
      <c r="F27" s="264">
        <v>5</v>
      </c>
      <c r="G27" s="269">
        <v>60000</v>
      </c>
      <c r="H27" s="381">
        <f t="shared" si="6"/>
        <v>300000</v>
      </c>
      <c r="I27" s="398" t="s">
        <v>205</v>
      </c>
    </row>
    <row r="28" spans="1:9" ht="15.9" customHeight="1">
      <c r="A28" s="530"/>
      <c r="B28" s="193"/>
      <c r="C28" s="323" t="s">
        <v>367</v>
      </c>
      <c r="D28" s="267" t="s">
        <v>368</v>
      </c>
      <c r="E28" s="264" t="s">
        <v>167</v>
      </c>
      <c r="F28" s="264">
        <v>1</v>
      </c>
      <c r="G28" s="269">
        <v>30000</v>
      </c>
      <c r="H28" s="381">
        <f t="shared" si="6"/>
        <v>30000</v>
      </c>
      <c r="I28" s="398" t="s">
        <v>205</v>
      </c>
    </row>
    <row r="29" spans="1:9" ht="15.9" customHeight="1">
      <c r="A29" s="530"/>
      <c r="B29" s="193"/>
      <c r="C29" s="267" t="s">
        <v>369</v>
      </c>
      <c r="D29" s="267" t="s">
        <v>370</v>
      </c>
      <c r="E29" s="264" t="s">
        <v>167</v>
      </c>
      <c r="F29" s="264">
        <v>1</v>
      </c>
      <c r="G29" s="269">
        <v>100000</v>
      </c>
      <c r="H29" s="381">
        <f t="shared" si="6"/>
        <v>100000</v>
      </c>
      <c r="I29" s="398" t="s">
        <v>205</v>
      </c>
    </row>
    <row r="30" spans="1:9" ht="15.9" customHeight="1">
      <c r="A30" s="530"/>
      <c r="B30" s="193"/>
      <c r="C30" s="323" t="s">
        <v>371</v>
      </c>
      <c r="D30" s="267" t="s">
        <v>372</v>
      </c>
      <c r="E30" s="264" t="s">
        <v>167</v>
      </c>
      <c r="F30" s="264">
        <v>1</v>
      </c>
      <c r="G30" s="269">
        <v>150000</v>
      </c>
      <c r="H30" s="381">
        <f t="shared" si="6"/>
        <v>150000</v>
      </c>
      <c r="I30" s="398" t="s">
        <v>205</v>
      </c>
    </row>
    <row r="31" spans="1:9" ht="15.9" customHeight="1">
      <c r="A31" s="530"/>
      <c r="B31" s="193"/>
      <c r="C31" s="267" t="s">
        <v>373</v>
      </c>
      <c r="D31" s="267" t="s">
        <v>374</v>
      </c>
      <c r="E31" s="264" t="s">
        <v>167</v>
      </c>
      <c r="F31" s="264">
        <v>1</v>
      </c>
      <c r="G31" s="269">
        <v>90000</v>
      </c>
      <c r="H31" s="381">
        <f t="shared" si="6"/>
        <v>90000</v>
      </c>
      <c r="I31" s="398" t="s">
        <v>205</v>
      </c>
    </row>
    <row r="32" spans="1:9" ht="15.9" customHeight="1">
      <c r="A32" s="530"/>
      <c r="B32" s="193"/>
      <c r="C32" s="267" t="s">
        <v>375</v>
      </c>
      <c r="D32" s="267" t="s">
        <v>376</v>
      </c>
      <c r="E32" s="264" t="s">
        <v>167</v>
      </c>
      <c r="F32" s="264">
        <v>1</v>
      </c>
      <c r="G32" s="269">
        <v>80000</v>
      </c>
      <c r="H32" s="381">
        <f t="shared" si="6"/>
        <v>80000</v>
      </c>
      <c r="I32" s="398" t="s">
        <v>205</v>
      </c>
    </row>
    <row r="33" spans="1:9" ht="15.9" customHeight="1">
      <c r="A33" s="530"/>
      <c r="B33" s="193"/>
      <c r="C33" s="323" t="s">
        <v>377</v>
      </c>
      <c r="D33" s="267" t="s">
        <v>378</v>
      </c>
      <c r="E33" s="264" t="s">
        <v>167</v>
      </c>
      <c r="F33" s="264">
        <v>2</v>
      </c>
      <c r="G33" s="269">
        <v>500000</v>
      </c>
      <c r="H33" s="381">
        <f t="shared" si="6"/>
        <v>1000000</v>
      </c>
      <c r="I33" s="398" t="s">
        <v>205</v>
      </c>
    </row>
    <row r="34" spans="1:9" ht="15.9" customHeight="1">
      <c r="A34" s="530"/>
      <c r="B34" s="193"/>
      <c r="C34" s="323" t="s">
        <v>377</v>
      </c>
      <c r="D34" s="267" t="s">
        <v>379</v>
      </c>
      <c r="E34" s="264" t="s">
        <v>167</v>
      </c>
      <c r="F34" s="264">
        <v>2</v>
      </c>
      <c r="G34" s="269">
        <v>100000</v>
      </c>
      <c r="H34" s="381">
        <f t="shared" si="6"/>
        <v>200000</v>
      </c>
      <c r="I34" s="398" t="s">
        <v>205</v>
      </c>
    </row>
    <row r="35" spans="1:9" ht="15.9" customHeight="1">
      <c r="A35" s="530"/>
      <c r="B35" s="193"/>
      <c r="C35" s="267" t="s">
        <v>165</v>
      </c>
      <c r="D35" s="264" t="s">
        <v>235</v>
      </c>
      <c r="E35" s="264" t="s">
        <v>167</v>
      </c>
      <c r="F35" s="271">
        <v>1</v>
      </c>
      <c r="G35" s="269">
        <v>1000000</v>
      </c>
      <c r="H35" s="160">
        <f t="shared" ref="H35:H36" si="7">IF(F35=0,G35,G35*F35)</f>
        <v>1000000</v>
      </c>
      <c r="I35" s="272" t="s">
        <v>207</v>
      </c>
    </row>
    <row r="36" spans="1:9" ht="15.9" customHeight="1">
      <c r="A36" s="530"/>
      <c r="B36" s="193"/>
      <c r="C36" s="267" t="s">
        <v>166</v>
      </c>
      <c r="D36" s="264" t="s">
        <v>247</v>
      </c>
      <c r="E36" s="264" t="s">
        <v>167</v>
      </c>
      <c r="F36" s="271">
        <v>1</v>
      </c>
      <c r="G36" s="269">
        <v>2500000</v>
      </c>
      <c r="H36" s="160">
        <f t="shared" si="7"/>
        <v>2500000</v>
      </c>
      <c r="I36" s="272" t="s">
        <v>208</v>
      </c>
    </row>
    <row r="37" spans="1:9" ht="15.9" customHeight="1">
      <c r="A37" s="530"/>
      <c r="B37" s="193"/>
      <c r="C37" s="200" t="s">
        <v>209</v>
      </c>
      <c r="D37" s="264" t="s">
        <v>210</v>
      </c>
      <c r="E37" s="264" t="s">
        <v>167</v>
      </c>
      <c r="F37" s="268">
        <v>2</v>
      </c>
      <c r="G37" s="203">
        <v>500000</v>
      </c>
      <c r="H37" s="160">
        <f t="shared" si="5"/>
        <v>1000000</v>
      </c>
      <c r="I37" s="272" t="s">
        <v>215</v>
      </c>
    </row>
    <row r="38" spans="1:9" ht="15.9" customHeight="1">
      <c r="A38" s="530"/>
      <c r="B38" s="193"/>
      <c r="C38" s="200" t="s">
        <v>168</v>
      </c>
      <c r="D38" s="264" t="s">
        <v>211</v>
      </c>
      <c r="E38" s="264" t="s">
        <v>167</v>
      </c>
      <c r="F38" s="271">
        <v>2</v>
      </c>
      <c r="G38" s="203">
        <v>2500000</v>
      </c>
      <c r="H38" s="160">
        <f t="shared" si="5"/>
        <v>5000000</v>
      </c>
      <c r="I38" s="272" t="s">
        <v>216</v>
      </c>
    </row>
    <row r="39" spans="1:9" ht="15.9" customHeight="1">
      <c r="A39" s="530"/>
      <c r="B39" s="193"/>
      <c r="C39" s="200" t="s">
        <v>212</v>
      </c>
      <c r="D39" s="264" t="s">
        <v>278</v>
      </c>
      <c r="E39" s="264" t="s">
        <v>167</v>
      </c>
      <c r="F39" s="268">
        <v>2</v>
      </c>
      <c r="G39" s="203">
        <v>3000000</v>
      </c>
      <c r="H39" s="160">
        <f t="shared" si="5"/>
        <v>6000000</v>
      </c>
      <c r="I39" s="272" t="s">
        <v>217</v>
      </c>
    </row>
    <row r="40" spans="1:9" ht="15.9" customHeight="1">
      <c r="A40" s="530"/>
      <c r="B40" s="193"/>
      <c r="C40" s="200" t="s">
        <v>240</v>
      </c>
      <c r="D40" s="264" t="s">
        <v>243</v>
      </c>
      <c r="E40" s="264" t="s">
        <v>167</v>
      </c>
      <c r="F40" s="268">
        <v>1</v>
      </c>
      <c r="G40" s="203">
        <v>2500000</v>
      </c>
      <c r="H40" s="160">
        <f t="shared" si="5"/>
        <v>2500000</v>
      </c>
      <c r="I40" s="272" t="s">
        <v>241</v>
      </c>
    </row>
    <row r="41" spans="1:9" ht="15.9" customHeight="1">
      <c r="A41" s="530"/>
      <c r="B41" s="193"/>
      <c r="C41" s="200" t="s">
        <v>173</v>
      </c>
      <c r="D41" s="264" t="s">
        <v>214</v>
      </c>
      <c r="E41" s="264" t="s">
        <v>167</v>
      </c>
      <c r="F41" s="268">
        <v>3</v>
      </c>
      <c r="G41" s="203">
        <v>1000000</v>
      </c>
      <c r="H41" s="160">
        <f t="shared" si="5"/>
        <v>3000000</v>
      </c>
      <c r="I41" s="272" t="s">
        <v>219</v>
      </c>
    </row>
    <row r="42" spans="1:9" ht="15.9" customHeight="1">
      <c r="A42" s="530"/>
      <c r="B42" s="193"/>
      <c r="C42" s="200" t="s">
        <v>189</v>
      </c>
      <c r="D42" s="201" t="s">
        <v>244</v>
      </c>
      <c r="E42" s="264" t="s">
        <v>167</v>
      </c>
      <c r="F42" s="268">
        <v>1</v>
      </c>
      <c r="G42" s="203">
        <v>1500000</v>
      </c>
      <c r="H42" s="160">
        <f t="shared" si="5"/>
        <v>1500000</v>
      </c>
      <c r="I42" s="272" t="s">
        <v>245</v>
      </c>
    </row>
    <row r="43" spans="1:9" ht="15.9" customHeight="1">
      <c r="A43" s="530"/>
      <c r="B43" s="193"/>
      <c r="C43" s="200"/>
      <c r="D43" s="267"/>
      <c r="E43" s="264"/>
      <c r="F43" s="268"/>
      <c r="G43" s="203"/>
      <c r="H43" s="160">
        <f t="shared" si="5"/>
        <v>0</v>
      </c>
      <c r="I43" s="25"/>
    </row>
    <row r="44" spans="1:9" ht="15.9" customHeight="1">
      <c r="A44" s="530"/>
      <c r="B44" s="193"/>
      <c r="C44" s="200"/>
      <c r="D44" s="200"/>
      <c r="E44" s="201"/>
      <c r="F44" s="203"/>
      <c r="G44" s="203"/>
      <c r="H44" s="160">
        <f t="shared" si="5"/>
        <v>0</v>
      </c>
      <c r="I44" s="25"/>
    </row>
    <row r="45" spans="1:9" ht="15.9" customHeight="1">
      <c r="A45" s="530"/>
      <c r="B45" s="193"/>
      <c r="C45" s="204"/>
      <c r="D45" s="205"/>
      <c r="E45" s="205"/>
      <c r="F45" s="206"/>
      <c r="G45" s="207"/>
      <c r="H45" s="161">
        <f t="shared" si="5"/>
        <v>0</v>
      </c>
      <c r="I45" s="208"/>
    </row>
    <row r="46" spans="1:9" ht="15.9" customHeight="1">
      <c r="A46" s="530"/>
      <c r="B46" s="209"/>
      <c r="C46" s="210"/>
      <c r="D46" s="211"/>
      <c r="E46" s="211"/>
      <c r="F46" s="213"/>
      <c r="G46" s="213"/>
      <c r="H46" s="214">
        <f>SUM(H25:H45)</f>
        <v>25250000</v>
      </c>
      <c r="I46" s="215"/>
    </row>
    <row r="47" spans="1:9" ht="15.9" customHeight="1">
      <c r="A47" s="530"/>
      <c r="B47" s="236" t="s">
        <v>49</v>
      </c>
      <c r="C47" s="200"/>
      <c r="D47" s="264"/>
      <c r="E47" s="264"/>
      <c r="F47" s="268"/>
      <c r="G47" s="203"/>
      <c r="H47" s="221">
        <f t="shared" si="5"/>
        <v>0</v>
      </c>
      <c r="I47" s="222"/>
    </row>
    <row r="48" spans="1:9" ht="15.9" customHeight="1">
      <c r="A48" s="530"/>
      <c r="B48" s="193"/>
      <c r="C48" s="200"/>
      <c r="D48" s="295"/>
      <c r="E48" s="264"/>
      <c r="F48" s="268"/>
      <c r="G48" s="203"/>
      <c r="H48" s="160">
        <f t="shared" si="5"/>
        <v>0</v>
      </c>
      <c r="I48" s="25"/>
    </row>
    <row r="49" spans="1:9" ht="15.9" customHeight="1">
      <c r="A49" s="530"/>
      <c r="B49" s="193"/>
      <c r="C49" s="200"/>
      <c r="D49" s="264"/>
      <c r="E49" s="264"/>
      <c r="F49" s="268"/>
      <c r="G49" s="203"/>
      <c r="H49" s="160">
        <f t="shared" si="5"/>
        <v>0</v>
      </c>
      <c r="I49" s="25"/>
    </row>
    <row r="50" spans="1:9" ht="15.9" customHeight="1">
      <c r="A50" s="530"/>
      <c r="B50" s="193"/>
      <c r="C50" s="200"/>
      <c r="D50" s="200"/>
      <c r="E50" s="200"/>
      <c r="F50" s="203"/>
      <c r="G50" s="203"/>
      <c r="H50" s="160">
        <f t="shared" si="5"/>
        <v>0</v>
      </c>
      <c r="I50" s="25"/>
    </row>
    <row r="51" spans="1:9" ht="15.9" customHeight="1">
      <c r="A51" s="530"/>
      <c r="B51" s="193"/>
      <c r="C51" s="200"/>
      <c r="D51" s="200"/>
      <c r="E51" s="200"/>
      <c r="F51" s="203"/>
      <c r="G51" s="203"/>
      <c r="H51" s="160">
        <f t="shared" si="5"/>
        <v>0</v>
      </c>
      <c r="I51" s="25"/>
    </row>
    <row r="52" spans="1:9" ht="15.9" customHeight="1">
      <c r="A52" s="530"/>
      <c r="B52" s="193"/>
      <c r="C52" s="200"/>
      <c r="D52" s="200"/>
      <c r="E52" s="200"/>
      <c r="F52" s="203"/>
      <c r="G52" s="203"/>
      <c r="H52" s="160">
        <f t="shared" si="5"/>
        <v>0</v>
      </c>
      <c r="I52" s="25"/>
    </row>
    <row r="53" spans="1:9" ht="15.9" customHeight="1">
      <c r="A53" s="530"/>
      <c r="B53" s="193"/>
      <c r="C53" s="204"/>
      <c r="D53" s="204"/>
      <c r="E53" s="204"/>
      <c r="F53" s="207"/>
      <c r="G53" s="207"/>
      <c r="H53" s="161">
        <f t="shared" si="5"/>
        <v>0</v>
      </c>
      <c r="I53" s="208"/>
    </row>
    <row r="54" spans="1:9" ht="15.9" customHeight="1">
      <c r="A54" s="530"/>
      <c r="B54" s="209"/>
      <c r="C54" s="210"/>
      <c r="D54" s="211"/>
      <c r="E54" s="211"/>
      <c r="F54" s="213"/>
      <c r="G54" s="213"/>
      <c r="H54" s="214">
        <f>SUM(H47:H53)</f>
        <v>0</v>
      </c>
      <c r="I54" s="215"/>
    </row>
    <row r="55" spans="1:9" ht="15.9" customHeight="1">
      <c r="A55" s="237"/>
      <c r="B55" s="238" t="s">
        <v>129</v>
      </c>
      <c r="C55" s="239"/>
      <c r="D55" s="215"/>
      <c r="E55" s="215"/>
      <c r="F55" s="241"/>
      <c r="G55" s="241"/>
      <c r="H55" s="214">
        <f>SUM(H54,H46,H24,H18)</f>
        <v>85950000</v>
      </c>
      <c r="I55" s="215"/>
    </row>
    <row r="56" spans="1:9" ht="15.9" customHeight="1">
      <c r="A56" s="531" t="s">
        <v>130</v>
      </c>
      <c r="B56" s="242" t="s">
        <v>55</v>
      </c>
      <c r="C56" s="239"/>
      <c r="D56" s="215"/>
      <c r="E56" s="242" t="s">
        <v>56</v>
      </c>
      <c r="F56" s="259"/>
      <c r="G56" s="245"/>
      <c r="H56" s="246">
        <f>F56*G56</f>
        <v>0</v>
      </c>
      <c r="I56" s="215"/>
    </row>
    <row r="57" spans="1:9" ht="15.9" customHeight="1">
      <c r="A57" s="530"/>
      <c r="B57" s="247" t="s">
        <v>148</v>
      </c>
      <c r="C57" s="248"/>
      <c r="D57" s="222"/>
      <c r="E57" s="247" t="s">
        <v>132</v>
      </c>
      <c r="F57" s="219">
        <v>20</v>
      </c>
      <c r="G57" s="220">
        <v>300000</v>
      </c>
      <c r="H57" s="221">
        <f t="shared" ref="H57:H63" si="8">F57*G57</f>
        <v>6000000</v>
      </c>
      <c r="I57" s="222"/>
    </row>
    <row r="58" spans="1:9" ht="15.9" customHeight="1">
      <c r="A58" s="530"/>
      <c r="B58" s="281" t="s">
        <v>149</v>
      </c>
      <c r="C58" s="251"/>
      <c r="D58" s="25"/>
      <c r="E58" s="250" t="s">
        <v>132</v>
      </c>
      <c r="F58" s="268">
        <v>20</v>
      </c>
      <c r="G58" s="203">
        <v>300000</v>
      </c>
      <c r="H58" s="160">
        <f t="shared" si="8"/>
        <v>6000000</v>
      </c>
      <c r="I58" s="25"/>
    </row>
    <row r="59" spans="1:9" ht="15.9" customHeight="1">
      <c r="A59" s="530"/>
      <c r="B59" s="250" t="s">
        <v>150</v>
      </c>
      <c r="C59" s="251"/>
      <c r="D59" s="25"/>
      <c r="E59" s="250" t="s">
        <v>132</v>
      </c>
      <c r="F59" s="268">
        <v>30</v>
      </c>
      <c r="G59" s="203">
        <v>300000</v>
      </c>
      <c r="H59" s="160">
        <f t="shared" si="8"/>
        <v>9000000</v>
      </c>
      <c r="I59" s="25"/>
    </row>
    <row r="60" spans="1:9" ht="15.9" customHeight="1">
      <c r="A60" s="530"/>
      <c r="B60" s="250" t="s">
        <v>151</v>
      </c>
      <c r="C60" s="251"/>
      <c r="D60" s="25"/>
      <c r="E60" s="250" t="s">
        <v>132</v>
      </c>
      <c r="F60" s="296"/>
      <c r="G60" s="203"/>
      <c r="H60" s="160">
        <f t="shared" si="8"/>
        <v>0</v>
      </c>
      <c r="I60" s="25"/>
    </row>
    <row r="61" spans="1:9" ht="15.9" customHeight="1">
      <c r="A61" s="530"/>
      <c r="B61" s="250" t="s">
        <v>152</v>
      </c>
      <c r="C61" s="251"/>
      <c r="D61" s="25"/>
      <c r="E61" s="250" t="s">
        <v>132</v>
      </c>
      <c r="F61" s="296"/>
      <c r="G61" s="203"/>
      <c r="H61" s="160">
        <f t="shared" si="8"/>
        <v>0</v>
      </c>
      <c r="I61" s="25"/>
    </row>
    <row r="62" spans="1:9" ht="15.9" customHeight="1">
      <c r="A62" s="530"/>
      <c r="B62" s="250" t="s">
        <v>153</v>
      </c>
      <c r="C62" s="251"/>
      <c r="D62" s="25"/>
      <c r="E62" s="250" t="s">
        <v>132</v>
      </c>
      <c r="F62" s="296"/>
      <c r="G62" s="203"/>
      <c r="H62" s="160">
        <f t="shared" si="8"/>
        <v>0</v>
      </c>
      <c r="I62" s="25"/>
    </row>
    <row r="63" spans="1:9" ht="15.9" customHeight="1">
      <c r="A63" s="530"/>
      <c r="B63" s="253" t="s">
        <v>158</v>
      </c>
      <c r="C63" s="254" t="s">
        <v>159</v>
      </c>
      <c r="D63" s="208"/>
      <c r="E63" s="253" t="s">
        <v>132</v>
      </c>
      <c r="F63" s="297"/>
      <c r="G63" s="207"/>
      <c r="H63" s="161">
        <f t="shared" si="8"/>
        <v>0</v>
      </c>
      <c r="I63" s="208"/>
    </row>
    <row r="64" spans="1:9" ht="15.9" customHeight="1">
      <c r="A64" s="237"/>
      <c r="B64" s="256" t="s">
        <v>138</v>
      </c>
      <c r="C64" s="239"/>
      <c r="D64" s="215"/>
      <c r="E64" s="215"/>
      <c r="F64" s="213"/>
      <c r="G64" s="213"/>
      <c r="H64" s="213">
        <f>SUM(H56:H63)</f>
        <v>21000000</v>
      </c>
      <c r="I64" s="211"/>
    </row>
    <row r="65" spans="1:9" ht="15.9" customHeight="1">
      <c r="A65" s="243"/>
      <c r="B65" s="256" t="s">
        <v>155</v>
      </c>
      <c r="C65" s="239"/>
      <c r="D65" s="215"/>
      <c r="E65" s="215"/>
      <c r="F65" s="214"/>
      <c r="G65" s="214"/>
      <c r="H65" s="241">
        <f>'단위공사별(집계)'!L11+'단위공사별(집계)'!I11</f>
        <v>2480527.2618334331</v>
      </c>
      <c r="I65" s="215"/>
    </row>
    <row r="66" spans="1:9" ht="15.9" customHeight="1">
      <c r="A66" s="243"/>
      <c r="B66" s="256" t="s">
        <v>80</v>
      </c>
      <c r="C66" s="239"/>
      <c r="D66" s="215"/>
      <c r="E66" s="215"/>
      <c r="F66" s="214"/>
      <c r="G66" s="258"/>
      <c r="H66" s="259"/>
      <c r="I66" s="239"/>
    </row>
    <row r="67" spans="1:9" ht="15.9" customHeight="1">
      <c r="A67" s="243"/>
      <c r="B67" s="256" t="s">
        <v>141</v>
      </c>
      <c r="C67" s="239"/>
      <c r="D67" s="215"/>
      <c r="E67" s="215"/>
      <c r="F67" s="214"/>
      <c r="G67" s="258"/>
      <c r="H67" s="259"/>
      <c r="I67" s="239"/>
    </row>
    <row r="68" spans="1:9" ht="15.9" customHeight="1">
      <c r="A68" s="243"/>
      <c r="B68" s="256" t="s">
        <v>142</v>
      </c>
      <c r="C68" s="239"/>
      <c r="D68" s="215"/>
      <c r="E68" s="215"/>
      <c r="F68" s="214"/>
      <c r="G68" s="214"/>
      <c r="H68" s="213">
        <f>H55+H64+H65+H66+H67</f>
        <v>109430527.26183343</v>
      </c>
      <c r="I68" s="215"/>
    </row>
    <row r="69" spans="1:9">
      <c r="A69" s="121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  <pageSetUpPr fitToPage="1"/>
  </sheetPr>
  <dimension ref="A1:I64"/>
  <sheetViews>
    <sheetView zoomScale="130" zoomScaleNormal="130" workbookViewId="0">
      <pane xSplit="2" ySplit="2" topLeftCell="C44" activePane="bottomRight" state="frozen"/>
      <selection activeCell="K5" sqref="K5"/>
      <selection pane="topRight" activeCell="K5" sqref="K5"/>
      <selection pane="bottomLeft" activeCell="K5" sqref="K5"/>
      <selection pane="bottomRight" activeCell="H60" sqref="H60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 t="s">
        <v>191</v>
      </c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/>
      <c r="D3" s="264"/>
      <c r="E3" s="201"/>
      <c r="F3" s="202"/>
      <c r="G3" s="203"/>
      <c r="H3" s="160">
        <f t="shared" ref="H3:H9" si="0">IF(F3=0,G3,G3*F3)</f>
        <v>0</v>
      </c>
      <c r="I3" s="272"/>
    </row>
    <row r="4" spans="1:9" ht="15.9" customHeight="1">
      <c r="A4" s="530"/>
      <c r="B4" s="193"/>
      <c r="C4" s="267"/>
      <c r="D4" s="267"/>
      <c r="E4" s="201"/>
      <c r="F4" s="202"/>
      <c r="G4" s="203"/>
      <c r="H4" s="160">
        <f t="shared" si="0"/>
        <v>0</v>
      </c>
      <c r="I4" s="272"/>
    </row>
    <row r="5" spans="1:9" ht="15.9" customHeight="1">
      <c r="A5" s="530"/>
      <c r="B5" s="193"/>
      <c r="C5" s="328"/>
      <c r="D5" s="328"/>
      <c r="E5" s="324"/>
      <c r="F5" s="325"/>
      <c r="G5" s="203"/>
      <c r="H5" s="160">
        <f t="shared" si="0"/>
        <v>0</v>
      </c>
      <c r="I5" s="326"/>
    </row>
    <row r="6" spans="1:9" ht="15.9" customHeight="1">
      <c r="A6" s="530"/>
      <c r="B6" s="193"/>
      <c r="C6" s="328"/>
      <c r="D6" s="328"/>
      <c r="E6" s="324"/>
      <c r="F6" s="325"/>
      <c r="G6" s="203"/>
      <c r="H6" s="160">
        <f t="shared" si="0"/>
        <v>0</v>
      </c>
      <c r="I6" s="326"/>
    </row>
    <row r="7" spans="1:9" ht="15.9" customHeight="1">
      <c r="A7" s="530"/>
      <c r="B7" s="193"/>
      <c r="C7" s="328"/>
      <c r="D7" s="328"/>
      <c r="E7" s="324"/>
      <c r="F7" s="325"/>
      <c r="G7" s="203"/>
      <c r="H7" s="160">
        <f t="shared" si="0"/>
        <v>0</v>
      </c>
      <c r="I7" s="326"/>
    </row>
    <row r="8" spans="1:9" ht="15.9" customHeight="1">
      <c r="A8" s="530"/>
      <c r="B8" s="193"/>
      <c r="C8" s="267"/>
      <c r="D8" s="267"/>
      <c r="E8" s="201"/>
      <c r="F8" s="268"/>
      <c r="G8" s="203"/>
      <c r="H8" s="160">
        <f t="shared" si="0"/>
        <v>0</v>
      </c>
      <c r="I8" s="272"/>
    </row>
    <row r="9" spans="1:9" ht="15.9" customHeight="1">
      <c r="A9" s="530"/>
      <c r="B9" s="193"/>
      <c r="C9" s="267"/>
      <c r="D9" s="267"/>
      <c r="E9" s="201"/>
      <c r="F9" s="268"/>
      <c r="G9" s="203"/>
      <c r="H9" s="160">
        <f t="shared" si="0"/>
        <v>0</v>
      </c>
      <c r="I9" s="272"/>
    </row>
    <row r="10" spans="1:9" ht="15.9" customHeight="1">
      <c r="A10" s="530"/>
      <c r="B10" s="193"/>
      <c r="C10" s="200"/>
      <c r="D10" s="200"/>
      <c r="E10" s="201"/>
      <c r="F10" s="203"/>
      <c r="G10" s="203"/>
      <c r="H10" s="160">
        <f t="shared" ref="H10:H48" si="1">IF(F10=0,G10,G10*F10)</f>
        <v>0</v>
      </c>
      <c r="I10" s="25"/>
    </row>
    <row r="11" spans="1:9" ht="15.9" customHeight="1">
      <c r="A11" s="530"/>
      <c r="B11" s="193"/>
      <c r="C11" s="200"/>
      <c r="D11" s="200"/>
      <c r="E11" s="201"/>
      <c r="F11" s="203"/>
      <c r="G11" s="203"/>
      <c r="H11" s="160">
        <f t="shared" si="1"/>
        <v>0</v>
      </c>
      <c r="I11" s="25"/>
    </row>
    <row r="12" spans="1:9" ht="15.9" customHeight="1">
      <c r="A12" s="530"/>
      <c r="B12" s="193"/>
      <c r="C12" s="200"/>
      <c r="D12" s="200"/>
      <c r="E12" s="201"/>
      <c r="F12" s="203"/>
      <c r="G12" s="203"/>
      <c r="H12" s="160">
        <f t="shared" si="1"/>
        <v>0</v>
      </c>
      <c r="I12" s="25"/>
    </row>
    <row r="13" spans="1:9" ht="15.9" customHeight="1">
      <c r="A13" s="530"/>
      <c r="B13" s="193"/>
      <c r="C13" s="200"/>
      <c r="D13" s="200"/>
      <c r="E13" s="201"/>
      <c r="F13" s="203"/>
      <c r="G13" s="203"/>
      <c r="H13" s="160">
        <f t="shared" si="1"/>
        <v>0</v>
      </c>
      <c r="I13" s="25"/>
    </row>
    <row r="14" spans="1:9" ht="15.9" customHeight="1">
      <c r="A14" s="530"/>
      <c r="B14" s="193"/>
      <c r="C14" s="200"/>
      <c r="D14" s="200"/>
      <c r="E14" s="201"/>
      <c r="F14" s="203"/>
      <c r="G14" s="203"/>
      <c r="H14" s="160">
        <f t="shared" si="1"/>
        <v>0</v>
      </c>
      <c r="I14" s="25"/>
    </row>
    <row r="15" spans="1:9" ht="15.9" customHeight="1">
      <c r="A15" s="530"/>
      <c r="B15" s="193"/>
      <c r="C15" s="200"/>
      <c r="D15" s="200"/>
      <c r="E15" s="201"/>
      <c r="F15" s="203"/>
      <c r="G15" s="203"/>
      <c r="H15" s="160">
        <f t="shared" si="1"/>
        <v>0</v>
      </c>
      <c r="I15" s="25"/>
    </row>
    <row r="16" spans="1:9" ht="15.9" customHeight="1">
      <c r="A16" s="530"/>
      <c r="B16" s="193"/>
      <c r="C16" s="200"/>
      <c r="D16" s="200"/>
      <c r="E16" s="201"/>
      <c r="F16" s="203"/>
      <c r="G16" s="203"/>
      <c r="H16" s="160">
        <f t="shared" si="1"/>
        <v>0</v>
      </c>
      <c r="I16" s="25"/>
    </row>
    <row r="17" spans="1:9" ht="15.9" customHeight="1">
      <c r="A17" s="530"/>
      <c r="B17" s="193"/>
      <c r="C17" s="200"/>
      <c r="D17" s="200"/>
      <c r="E17" s="201"/>
      <c r="F17" s="203"/>
      <c r="G17" s="203"/>
      <c r="H17" s="160">
        <f t="shared" si="1"/>
        <v>0</v>
      </c>
      <c r="I17" s="25"/>
    </row>
    <row r="18" spans="1:9" ht="15.9" customHeight="1">
      <c r="A18" s="530"/>
      <c r="B18" s="193"/>
      <c r="C18" s="200"/>
      <c r="D18" s="200"/>
      <c r="E18" s="200"/>
      <c r="F18" s="203"/>
      <c r="G18" s="203"/>
      <c r="H18" s="160">
        <f t="shared" si="1"/>
        <v>0</v>
      </c>
      <c r="I18" s="25"/>
    </row>
    <row r="19" spans="1:9" ht="15.9" customHeight="1">
      <c r="A19" s="530"/>
      <c r="B19" s="193"/>
      <c r="C19" s="204" t="s">
        <v>126</v>
      </c>
      <c r="D19" s="224"/>
      <c r="E19" s="224"/>
      <c r="F19" s="226"/>
      <c r="G19" s="226"/>
      <c r="H19" s="227">
        <f t="shared" si="1"/>
        <v>0</v>
      </c>
      <c r="I19" s="228"/>
    </row>
    <row r="20" spans="1:9" ht="15.9" customHeight="1">
      <c r="A20" s="530"/>
      <c r="B20" s="209"/>
      <c r="C20" s="235"/>
      <c r="D20" s="235"/>
      <c r="E20" s="235"/>
      <c r="F20" s="233"/>
      <c r="G20" s="233"/>
      <c r="H20" s="234">
        <f>SUM(H3:H19)</f>
        <v>0</v>
      </c>
      <c r="I20" s="235"/>
    </row>
    <row r="21" spans="1:9" ht="15.9" customHeight="1">
      <c r="A21" s="530"/>
      <c r="B21" s="193" t="s">
        <v>144</v>
      </c>
      <c r="C21" s="194"/>
      <c r="D21" s="194"/>
      <c r="E21" s="194"/>
      <c r="F21" s="197"/>
      <c r="G21" s="197"/>
      <c r="H21" s="198">
        <f t="shared" si="1"/>
        <v>0</v>
      </c>
      <c r="I21" s="199"/>
    </row>
    <row r="22" spans="1:9" ht="15.9" customHeight="1">
      <c r="A22" s="530"/>
      <c r="B22" s="193" t="s">
        <v>145</v>
      </c>
      <c r="C22" s="200"/>
      <c r="D22" s="200"/>
      <c r="E22" s="200"/>
      <c r="F22" s="203"/>
      <c r="G22" s="203"/>
      <c r="H22" s="160">
        <f t="shared" si="1"/>
        <v>0</v>
      </c>
      <c r="I22" s="25"/>
    </row>
    <row r="23" spans="1:9" ht="15.9" customHeight="1">
      <c r="A23" s="530"/>
      <c r="B23" s="193"/>
      <c r="C23" s="200"/>
      <c r="D23" s="200"/>
      <c r="E23" s="200"/>
      <c r="F23" s="203"/>
      <c r="G23" s="203"/>
      <c r="H23" s="160">
        <f t="shared" si="1"/>
        <v>0</v>
      </c>
      <c r="I23" s="25"/>
    </row>
    <row r="24" spans="1:9" ht="15.9" customHeight="1">
      <c r="A24" s="530"/>
      <c r="B24" s="193"/>
      <c r="C24" s="200"/>
      <c r="D24" s="200"/>
      <c r="E24" s="200"/>
      <c r="F24" s="203"/>
      <c r="G24" s="203"/>
      <c r="H24" s="160">
        <f t="shared" si="1"/>
        <v>0</v>
      </c>
      <c r="I24" s="25"/>
    </row>
    <row r="25" spans="1:9" ht="15.9" customHeight="1">
      <c r="A25" s="530"/>
      <c r="B25" s="193"/>
      <c r="C25" s="204" t="s">
        <v>126</v>
      </c>
      <c r="D25" s="204"/>
      <c r="E25" s="204"/>
      <c r="F25" s="207"/>
      <c r="G25" s="207"/>
      <c r="H25" s="160">
        <f t="shared" si="1"/>
        <v>0</v>
      </c>
      <c r="I25" s="208"/>
    </row>
    <row r="26" spans="1:9" ht="15.9" customHeight="1">
      <c r="A26" s="530"/>
      <c r="B26" s="209"/>
      <c r="C26" s="210"/>
      <c r="D26" s="211"/>
      <c r="E26" s="211"/>
      <c r="F26" s="270"/>
      <c r="G26" s="213"/>
      <c r="H26" s="214">
        <f>SUM(H21:H25)</f>
        <v>0</v>
      </c>
      <c r="I26" s="215"/>
    </row>
    <row r="27" spans="1:9" ht="15.9" customHeight="1">
      <c r="A27" s="530"/>
      <c r="B27" s="236" t="s">
        <v>146</v>
      </c>
      <c r="C27" s="267"/>
      <c r="D27" s="264"/>
      <c r="E27" s="264"/>
      <c r="F27" s="271"/>
      <c r="G27" s="269"/>
      <c r="H27" s="160">
        <f t="shared" ref="H27:H38" si="2">IF(F27=0,G27,G27*F27)</f>
        <v>0</v>
      </c>
      <c r="I27" s="272"/>
    </row>
    <row r="28" spans="1:9" ht="15.9" customHeight="1">
      <c r="A28" s="530"/>
      <c r="B28" s="193" t="s">
        <v>147</v>
      </c>
      <c r="C28" s="267"/>
      <c r="D28" s="264"/>
      <c r="E28" s="264"/>
      <c r="F28" s="271"/>
      <c r="G28" s="269"/>
      <c r="H28" s="160">
        <f t="shared" si="2"/>
        <v>0</v>
      </c>
      <c r="I28" s="272"/>
    </row>
    <row r="29" spans="1:9" ht="15.9" customHeight="1">
      <c r="A29" s="530"/>
      <c r="B29" s="193"/>
      <c r="C29" s="200"/>
      <c r="D29" s="264"/>
      <c r="E29" s="264"/>
      <c r="F29" s="271"/>
      <c r="G29" s="203"/>
      <c r="H29" s="160">
        <f t="shared" si="2"/>
        <v>0</v>
      </c>
      <c r="I29" s="272"/>
    </row>
    <row r="30" spans="1:9" ht="15.9" customHeight="1">
      <c r="A30" s="530"/>
      <c r="B30" s="193"/>
      <c r="C30" s="200"/>
      <c r="D30" s="201"/>
      <c r="E30" s="264"/>
      <c r="F30" s="268"/>
      <c r="G30" s="203"/>
      <c r="H30" s="160">
        <f t="shared" si="2"/>
        <v>0</v>
      </c>
      <c r="I30" s="272"/>
    </row>
    <row r="31" spans="1:9" ht="15.9" customHeight="1">
      <c r="A31" s="530"/>
      <c r="B31" s="193"/>
      <c r="C31" s="200"/>
      <c r="D31" s="267"/>
      <c r="E31" s="264"/>
      <c r="F31" s="268"/>
      <c r="G31" s="203"/>
      <c r="H31" s="160">
        <f t="shared" si="2"/>
        <v>0</v>
      </c>
      <c r="I31" s="25"/>
    </row>
    <row r="32" spans="1:9" ht="15.9" customHeight="1">
      <c r="A32" s="530"/>
      <c r="B32" s="193"/>
      <c r="C32" s="200"/>
      <c r="D32" s="267"/>
      <c r="E32" s="264"/>
      <c r="F32" s="268"/>
      <c r="G32" s="203"/>
      <c r="H32" s="160">
        <f t="shared" si="2"/>
        <v>0</v>
      </c>
      <c r="I32" s="25"/>
    </row>
    <row r="33" spans="1:9" ht="15.9" customHeight="1">
      <c r="A33" s="530"/>
      <c r="B33" s="193"/>
      <c r="C33" s="200"/>
      <c r="D33" s="267"/>
      <c r="E33" s="264"/>
      <c r="F33" s="268"/>
      <c r="G33" s="203"/>
      <c r="H33" s="160">
        <f t="shared" si="2"/>
        <v>0</v>
      </c>
      <c r="I33" s="25"/>
    </row>
    <row r="34" spans="1:9" ht="15.9" customHeight="1">
      <c r="A34" s="530"/>
      <c r="B34" s="193"/>
      <c r="C34" s="200"/>
      <c r="D34" s="267"/>
      <c r="E34" s="264"/>
      <c r="F34" s="268"/>
      <c r="G34" s="203"/>
      <c r="H34" s="160">
        <f t="shared" si="2"/>
        <v>0</v>
      </c>
      <c r="I34" s="25"/>
    </row>
    <row r="35" spans="1:9" ht="15.9" customHeight="1">
      <c r="A35" s="530"/>
      <c r="B35" s="193"/>
      <c r="C35" s="200"/>
      <c r="D35" s="267"/>
      <c r="E35" s="264"/>
      <c r="F35" s="268"/>
      <c r="G35" s="203"/>
      <c r="H35" s="160">
        <f t="shared" si="2"/>
        <v>0</v>
      </c>
      <c r="I35" s="25"/>
    </row>
    <row r="36" spans="1:9" ht="15.9" customHeight="1">
      <c r="A36" s="530"/>
      <c r="B36" s="193"/>
      <c r="C36" s="200"/>
      <c r="D36" s="267"/>
      <c r="E36" s="264"/>
      <c r="F36" s="268"/>
      <c r="G36" s="203"/>
      <c r="H36" s="160">
        <f t="shared" si="2"/>
        <v>0</v>
      </c>
      <c r="I36" s="25"/>
    </row>
    <row r="37" spans="1:9" ht="15.9" customHeight="1">
      <c r="A37" s="530"/>
      <c r="B37" s="193"/>
      <c r="C37" s="200"/>
      <c r="D37" s="267"/>
      <c r="E37" s="264"/>
      <c r="F37" s="268"/>
      <c r="G37" s="203"/>
      <c r="H37" s="160">
        <f t="shared" si="2"/>
        <v>0</v>
      </c>
      <c r="I37" s="25"/>
    </row>
    <row r="38" spans="1:9" ht="15.9" customHeight="1">
      <c r="A38" s="530"/>
      <c r="B38" s="193"/>
      <c r="C38" s="200"/>
      <c r="D38" s="267"/>
      <c r="E38" s="264"/>
      <c r="F38" s="268"/>
      <c r="G38" s="203"/>
      <c r="H38" s="160">
        <f t="shared" si="2"/>
        <v>0</v>
      </c>
      <c r="I38" s="25"/>
    </row>
    <row r="39" spans="1:9" ht="15.9" customHeight="1">
      <c r="A39" s="530"/>
      <c r="B39" s="193"/>
      <c r="C39" s="200"/>
      <c r="D39" s="200"/>
      <c r="E39" s="201"/>
      <c r="F39" s="203"/>
      <c r="G39" s="203"/>
      <c r="H39" s="160">
        <f t="shared" si="1"/>
        <v>0</v>
      </c>
      <c r="I39" s="25"/>
    </row>
    <row r="40" spans="1:9" ht="15.9" customHeight="1">
      <c r="A40" s="530"/>
      <c r="B40" s="193"/>
      <c r="C40" s="204"/>
      <c r="D40" s="205"/>
      <c r="E40" s="205"/>
      <c r="F40" s="206"/>
      <c r="G40" s="207"/>
      <c r="H40" s="161">
        <f t="shared" si="1"/>
        <v>0</v>
      </c>
      <c r="I40" s="208"/>
    </row>
    <row r="41" spans="1:9" ht="15.9" customHeight="1">
      <c r="A41" s="530"/>
      <c r="B41" s="209"/>
      <c r="C41" s="210"/>
      <c r="D41" s="211"/>
      <c r="E41" s="211"/>
      <c r="F41" s="213"/>
      <c r="G41" s="213"/>
      <c r="H41" s="214">
        <f>SUM(H27:H40)</f>
        <v>0</v>
      </c>
      <c r="I41" s="215"/>
    </row>
    <row r="42" spans="1:9" ht="15.9" customHeight="1">
      <c r="A42" s="530"/>
      <c r="B42" s="236" t="s">
        <v>49</v>
      </c>
      <c r="C42" s="200" t="s">
        <v>386</v>
      </c>
      <c r="D42" s="264"/>
      <c r="E42" s="264" t="s">
        <v>47</v>
      </c>
      <c r="F42" s="268">
        <v>3</v>
      </c>
      <c r="G42" s="203">
        <v>60000000</v>
      </c>
      <c r="H42" s="221">
        <f t="shared" ref="H42" si="3">IF(F42=0,G42,G42*F42)</f>
        <v>180000000</v>
      </c>
      <c r="I42" s="222" t="s">
        <v>248</v>
      </c>
    </row>
    <row r="43" spans="1:9" ht="15.9" customHeight="1">
      <c r="A43" s="530"/>
      <c r="B43" s="193"/>
      <c r="C43" s="200"/>
      <c r="D43" s="295"/>
      <c r="E43" s="264"/>
      <c r="F43" s="268"/>
      <c r="G43" s="203"/>
      <c r="H43" s="160">
        <f t="shared" si="1"/>
        <v>0</v>
      </c>
      <c r="I43" s="25"/>
    </row>
    <row r="44" spans="1:9" ht="15.9" customHeight="1">
      <c r="A44" s="530"/>
      <c r="B44" s="193"/>
      <c r="C44" s="200"/>
      <c r="D44" s="264"/>
      <c r="E44" s="264"/>
      <c r="F44" s="268"/>
      <c r="G44" s="203"/>
      <c r="H44" s="160">
        <f t="shared" si="1"/>
        <v>0</v>
      </c>
      <c r="I44" s="25"/>
    </row>
    <row r="45" spans="1:9" ht="15.9" customHeight="1">
      <c r="A45" s="530"/>
      <c r="B45" s="193"/>
      <c r="C45" s="200"/>
      <c r="D45" s="200"/>
      <c r="E45" s="264"/>
      <c r="F45" s="202"/>
      <c r="G45" s="203"/>
      <c r="H45" s="160">
        <f t="shared" si="1"/>
        <v>0</v>
      </c>
      <c r="I45" s="25"/>
    </row>
    <row r="46" spans="1:9" ht="15.9" customHeight="1">
      <c r="A46" s="530"/>
      <c r="B46" s="193"/>
      <c r="C46" s="200"/>
      <c r="D46" s="200"/>
      <c r="E46" s="264"/>
      <c r="F46" s="202"/>
      <c r="G46" s="203"/>
      <c r="H46" s="160">
        <f t="shared" si="1"/>
        <v>0</v>
      </c>
      <c r="I46" s="25"/>
    </row>
    <row r="47" spans="1:9" ht="15.9" customHeight="1">
      <c r="A47" s="530"/>
      <c r="B47" s="193"/>
      <c r="C47" s="200"/>
      <c r="D47" s="200"/>
      <c r="E47" s="264"/>
      <c r="F47" s="203"/>
      <c r="G47" s="203"/>
      <c r="H47" s="160">
        <f t="shared" si="1"/>
        <v>0</v>
      </c>
      <c r="I47" s="25"/>
    </row>
    <row r="48" spans="1:9" ht="15.9" customHeight="1">
      <c r="A48" s="530"/>
      <c r="B48" s="193"/>
      <c r="C48" s="204"/>
      <c r="D48" s="204"/>
      <c r="E48" s="298"/>
      <c r="F48" s="207"/>
      <c r="G48" s="207"/>
      <c r="H48" s="161">
        <f t="shared" si="1"/>
        <v>0</v>
      </c>
      <c r="I48" s="208"/>
    </row>
    <row r="49" spans="1:9" ht="15.9" customHeight="1">
      <c r="A49" s="530"/>
      <c r="B49" s="209"/>
      <c r="C49" s="210"/>
      <c r="D49" s="211"/>
      <c r="E49" s="211"/>
      <c r="F49" s="213"/>
      <c r="G49" s="213"/>
      <c r="H49" s="214">
        <f>SUM(H42:H48)</f>
        <v>180000000</v>
      </c>
      <c r="I49" s="215"/>
    </row>
    <row r="50" spans="1:9" ht="15.9" customHeight="1">
      <c r="A50" s="237"/>
      <c r="B50" s="238" t="s">
        <v>129</v>
      </c>
      <c r="C50" s="239"/>
      <c r="D50" s="215"/>
      <c r="E50" s="215"/>
      <c r="F50" s="241"/>
      <c r="G50" s="241"/>
      <c r="H50" s="214">
        <f>SUM(H49,H41,H26,H20)</f>
        <v>180000000</v>
      </c>
      <c r="I50" s="215"/>
    </row>
    <row r="51" spans="1:9" ht="15.9" customHeight="1">
      <c r="A51" s="531" t="s">
        <v>130</v>
      </c>
      <c r="B51" s="242" t="s">
        <v>55</v>
      </c>
      <c r="C51" s="239"/>
      <c r="D51" s="215"/>
      <c r="E51" s="242" t="s">
        <v>56</v>
      </c>
      <c r="F51" s="259"/>
      <c r="G51" s="245"/>
      <c r="H51" s="246">
        <f>F51*G51</f>
        <v>0</v>
      </c>
      <c r="I51" s="215"/>
    </row>
    <row r="52" spans="1:9" ht="15.9" customHeight="1">
      <c r="A52" s="530"/>
      <c r="B52" s="247" t="s">
        <v>148</v>
      </c>
      <c r="C52" s="248"/>
      <c r="D52" s="222"/>
      <c r="E52" s="247" t="s">
        <v>132</v>
      </c>
      <c r="F52" s="274"/>
      <c r="G52" s="220"/>
      <c r="H52" s="221">
        <f t="shared" ref="H52:H58" si="4">F52*G52</f>
        <v>0</v>
      </c>
      <c r="I52" s="222"/>
    </row>
    <row r="53" spans="1:9" ht="15.9" customHeight="1">
      <c r="A53" s="530"/>
      <c r="B53" s="281" t="s">
        <v>149</v>
      </c>
      <c r="C53" s="251"/>
      <c r="D53" s="25"/>
      <c r="E53" s="250" t="s">
        <v>132</v>
      </c>
      <c r="F53" s="275"/>
      <c r="G53" s="203"/>
      <c r="H53" s="160">
        <f t="shared" si="4"/>
        <v>0</v>
      </c>
      <c r="I53" s="25"/>
    </row>
    <row r="54" spans="1:9" ht="15.9" customHeight="1">
      <c r="A54" s="530"/>
      <c r="B54" s="250" t="s">
        <v>150</v>
      </c>
      <c r="C54" s="251"/>
      <c r="D54" s="25"/>
      <c r="E54" s="250" t="s">
        <v>132</v>
      </c>
      <c r="F54" s="275"/>
      <c r="G54" s="203"/>
      <c r="H54" s="160">
        <f t="shared" si="4"/>
        <v>0</v>
      </c>
      <c r="I54" s="25"/>
    </row>
    <row r="55" spans="1:9" ht="15.9" customHeight="1">
      <c r="A55" s="530"/>
      <c r="B55" s="250" t="s">
        <v>151</v>
      </c>
      <c r="C55" s="251"/>
      <c r="D55" s="25"/>
      <c r="E55" s="250" t="s">
        <v>132</v>
      </c>
      <c r="F55" s="203"/>
      <c r="G55" s="203"/>
      <c r="H55" s="160">
        <f t="shared" si="4"/>
        <v>0</v>
      </c>
      <c r="I55" s="25"/>
    </row>
    <row r="56" spans="1:9" ht="15.9" customHeight="1">
      <c r="A56" s="530"/>
      <c r="B56" s="250" t="s">
        <v>152</v>
      </c>
      <c r="C56" s="251"/>
      <c r="D56" s="25"/>
      <c r="E56" s="250" t="s">
        <v>132</v>
      </c>
      <c r="F56" s="203"/>
      <c r="G56" s="203"/>
      <c r="H56" s="160">
        <f t="shared" si="4"/>
        <v>0</v>
      </c>
      <c r="I56" s="25"/>
    </row>
    <row r="57" spans="1:9" ht="15.9" customHeight="1">
      <c r="A57" s="530"/>
      <c r="B57" s="250" t="s">
        <v>153</v>
      </c>
      <c r="C57" s="251"/>
      <c r="D57" s="25"/>
      <c r="E57" s="250" t="s">
        <v>132</v>
      </c>
      <c r="F57" s="203"/>
      <c r="G57" s="203"/>
      <c r="H57" s="160">
        <f t="shared" si="4"/>
        <v>0</v>
      </c>
      <c r="I57" s="25"/>
    </row>
    <row r="58" spans="1:9" ht="15.9" customHeight="1">
      <c r="A58" s="530"/>
      <c r="B58" s="253" t="s">
        <v>158</v>
      </c>
      <c r="C58" s="254" t="s">
        <v>159</v>
      </c>
      <c r="D58" s="208"/>
      <c r="E58" s="253" t="s">
        <v>132</v>
      </c>
      <c r="F58" s="299"/>
      <c r="G58" s="207"/>
      <c r="H58" s="161">
        <f t="shared" si="4"/>
        <v>0</v>
      </c>
      <c r="I58" s="208"/>
    </row>
    <row r="59" spans="1:9" ht="15.9" customHeight="1">
      <c r="A59" s="237"/>
      <c r="B59" s="256" t="s">
        <v>138</v>
      </c>
      <c r="C59" s="239"/>
      <c r="D59" s="215"/>
      <c r="E59" s="215"/>
      <c r="F59" s="213"/>
      <c r="G59" s="213"/>
      <c r="H59" s="213">
        <f>SUM(H51:H58)</f>
        <v>0</v>
      </c>
      <c r="I59" s="211"/>
    </row>
    <row r="60" spans="1:9" ht="15.9" customHeight="1">
      <c r="A60" s="243"/>
      <c r="B60" s="256" t="s">
        <v>155</v>
      </c>
      <c r="C60" s="239"/>
      <c r="D60" s="215"/>
      <c r="E60" s="215"/>
      <c r="F60" s="214"/>
      <c r="G60" s="214"/>
      <c r="H60" s="241">
        <f>'단위공사별(집계)'!L12+'단위공사별(집계)'!I12</f>
        <v>4174800.4406733797</v>
      </c>
      <c r="I60" s="215"/>
    </row>
    <row r="61" spans="1:9" ht="15.9" customHeight="1">
      <c r="A61" s="243"/>
      <c r="B61" s="256" t="s">
        <v>80</v>
      </c>
      <c r="C61" s="239"/>
      <c r="D61" s="215"/>
      <c r="E61" s="215"/>
      <c r="F61" s="214"/>
      <c r="G61" s="258"/>
      <c r="H61" s="259"/>
      <c r="I61" s="239"/>
    </row>
    <row r="62" spans="1:9" ht="15.9" customHeight="1">
      <c r="A62" s="243"/>
      <c r="B62" s="256" t="s">
        <v>141</v>
      </c>
      <c r="C62" s="239"/>
      <c r="D62" s="215"/>
      <c r="E62" s="215"/>
      <c r="F62" s="214"/>
      <c r="G62" s="258"/>
      <c r="H62" s="259"/>
      <c r="I62" s="239"/>
    </row>
    <row r="63" spans="1:9" ht="15.9" customHeight="1">
      <c r="A63" s="243"/>
      <c r="B63" s="256" t="s">
        <v>142</v>
      </c>
      <c r="C63" s="239"/>
      <c r="D63" s="215"/>
      <c r="E63" s="215"/>
      <c r="F63" s="214"/>
      <c r="G63" s="214"/>
      <c r="H63" s="213">
        <f>H50+H59+H60+H61+H62</f>
        <v>184174800.44067338</v>
      </c>
      <c r="I63" s="215"/>
    </row>
    <row r="64" spans="1:9">
      <c r="A64" s="121"/>
    </row>
  </sheetData>
  <mergeCells count="3">
    <mergeCell ref="A2:B2"/>
    <mergeCell ref="A3:A49"/>
    <mergeCell ref="A51:A5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50"/>
    <pageSetUpPr fitToPage="1"/>
  </sheetPr>
  <dimension ref="A1:I55"/>
  <sheetViews>
    <sheetView zoomScale="115" zoomScaleNormal="115" workbookViewId="0">
      <pane xSplit="2" ySplit="2" topLeftCell="C33" activePane="bottomRight" state="frozen"/>
      <selection activeCell="K5" sqref="K5"/>
      <selection pane="topRight" activeCell="K5" sqref="K5"/>
      <selection pane="bottomLeft" activeCell="K5" sqref="K5"/>
      <selection pane="bottomRight" activeCell="H51" sqref="H51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 t="s">
        <v>192</v>
      </c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/>
      <c r="D3" s="264"/>
      <c r="E3" s="201"/>
      <c r="F3" s="202"/>
      <c r="G3" s="269"/>
      <c r="H3" s="160">
        <f>IF(F3=0,G3,G3*F3)</f>
        <v>0</v>
      </c>
      <c r="I3" s="272"/>
    </row>
    <row r="4" spans="1:9" ht="15.9" customHeight="1">
      <c r="A4" s="530"/>
      <c r="B4" s="193"/>
      <c r="C4" s="267"/>
      <c r="D4" s="267"/>
      <c r="E4" s="201"/>
      <c r="F4" s="202"/>
      <c r="G4" s="269"/>
      <c r="H4" s="160">
        <f t="shared" ref="H4" si="0">IF(F4=0,G4,G4*F4)</f>
        <v>0</v>
      </c>
      <c r="I4" s="272"/>
    </row>
    <row r="5" spans="1:9" ht="15.9" customHeight="1">
      <c r="A5" s="530"/>
      <c r="B5" s="193"/>
      <c r="C5" s="200"/>
      <c r="D5" s="200"/>
      <c r="E5" s="201"/>
      <c r="F5" s="203"/>
      <c r="G5" s="203"/>
      <c r="H5" s="160">
        <f t="shared" ref="H5:H39" si="1">IF(F5=0,G5,G5*F5)</f>
        <v>0</v>
      </c>
      <c r="I5" s="25"/>
    </row>
    <row r="6" spans="1:9" ht="15.9" customHeight="1">
      <c r="A6" s="530"/>
      <c r="B6" s="193"/>
      <c r="C6" s="200"/>
      <c r="D6" s="200"/>
      <c r="E6" s="201"/>
      <c r="F6" s="203"/>
      <c r="G6" s="203"/>
      <c r="H6" s="160">
        <f t="shared" si="1"/>
        <v>0</v>
      </c>
      <c r="I6" s="25"/>
    </row>
    <row r="7" spans="1:9" ht="15.9" customHeight="1">
      <c r="A7" s="530"/>
      <c r="B7" s="193"/>
      <c r="C7" s="200"/>
      <c r="D7" s="200"/>
      <c r="E7" s="201"/>
      <c r="F7" s="203"/>
      <c r="G7" s="203"/>
      <c r="H7" s="160">
        <f t="shared" si="1"/>
        <v>0</v>
      </c>
      <c r="I7" s="25"/>
    </row>
    <row r="8" spans="1:9" ht="15.9" customHeight="1">
      <c r="A8" s="530"/>
      <c r="B8" s="193"/>
      <c r="C8" s="200"/>
      <c r="D8" s="200"/>
      <c r="E8" s="201"/>
      <c r="F8" s="203"/>
      <c r="G8" s="203"/>
      <c r="H8" s="160">
        <f t="shared" si="1"/>
        <v>0</v>
      </c>
      <c r="I8" s="25"/>
    </row>
    <row r="9" spans="1:9" ht="15.9" customHeight="1">
      <c r="A9" s="530"/>
      <c r="B9" s="193"/>
      <c r="C9" s="200"/>
      <c r="D9" s="200"/>
      <c r="E9" s="200"/>
      <c r="F9" s="203"/>
      <c r="G9" s="203"/>
      <c r="H9" s="160">
        <f t="shared" si="1"/>
        <v>0</v>
      </c>
      <c r="I9" s="25"/>
    </row>
    <row r="10" spans="1:9" ht="15.9" customHeight="1">
      <c r="A10" s="530"/>
      <c r="B10" s="193"/>
      <c r="C10" s="204" t="s">
        <v>126</v>
      </c>
      <c r="D10" s="205"/>
      <c r="E10" s="205" t="s">
        <v>127</v>
      </c>
      <c r="F10" s="206"/>
      <c r="G10" s="207"/>
      <c r="H10" s="227">
        <f t="shared" si="1"/>
        <v>0</v>
      </c>
      <c r="I10" s="228"/>
    </row>
    <row r="11" spans="1:9" ht="15.9" customHeight="1">
      <c r="A11" s="530"/>
      <c r="B11" s="209"/>
      <c r="C11" s="235"/>
      <c r="D11" s="235"/>
      <c r="E11" s="235"/>
      <c r="F11" s="233"/>
      <c r="G11" s="233"/>
      <c r="H11" s="234">
        <f>SUM(H3:H10)</f>
        <v>0</v>
      </c>
      <c r="I11" s="235"/>
    </row>
    <row r="12" spans="1:9" ht="15.9" customHeight="1">
      <c r="A12" s="530"/>
      <c r="B12" s="193" t="s">
        <v>144</v>
      </c>
      <c r="C12" s="194"/>
      <c r="D12" s="194"/>
      <c r="E12" s="194"/>
      <c r="F12" s="197"/>
      <c r="G12" s="197"/>
      <c r="H12" s="198">
        <f t="shared" si="1"/>
        <v>0</v>
      </c>
      <c r="I12" s="199"/>
    </row>
    <row r="13" spans="1:9" ht="15.9" customHeight="1">
      <c r="A13" s="530"/>
      <c r="B13" s="193" t="s">
        <v>145</v>
      </c>
      <c r="C13" s="200"/>
      <c r="D13" s="200"/>
      <c r="E13" s="200"/>
      <c r="F13" s="203"/>
      <c r="G13" s="203"/>
      <c r="H13" s="160">
        <f t="shared" si="1"/>
        <v>0</v>
      </c>
      <c r="I13" s="25"/>
    </row>
    <row r="14" spans="1:9" ht="15.9" customHeight="1">
      <c r="A14" s="530"/>
      <c r="B14" s="193"/>
      <c r="C14" s="200"/>
      <c r="D14" s="200"/>
      <c r="E14" s="200"/>
      <c r="F14" s="203"/>
      <c r="G14" s="203"/>
      <c r="H14" s="160">
        <f t="shared" si="1"/>
        <v>0</v>
      </c>
      <c r="I14" s="25"/>
    </row>
    <row r="15" spans="1:9" ht="15.9" customHeight="1">
      <c r="A15" s="530"/>
      <c r="B15" s="193"/>
      <c r="C15" s="200"/>
      <c r="D15" s="200"/>
      <c r="E15" s="200"/>
      <c r="F15" s="203"/>
      <c r="G15" s="203"/>
      <c r="H15" s="160">
        <f t="shared" si="1"/>
        <v>0</v>
      </c>
      <c r="I15" s="25"/>
    </row>
    <row r="16" spans="1:9" ht="15.9" customHeight="1">
      <c r="A16" s="530"/>
      <c r="B16" s="193"/>
      <c r="C16" s="204" t="s">
        <v>126</v>
      </c>
      <c r="D16" s="204"/>
      <c r="E16" s="204"/>
      <c r="F16" s="207"/>
      <c r="G16" s="207"/>
      <c r="H16" s="160">
        <f t="shared" si="1"/>
        <v>0</v>
      </c>
      <c r="I16" s="208"/>
    </row>
    <row r="17" spans="1:9" ht="15.9" customHeight="1">
      <c r="A17" s="530"/>
      <c r="B17" s="209"/>
      <c r="C17" s="210"/>
      <c r="D17" s="211"/>
      <c r="E17" s="211"/>
      <c r="F17" s="270"/>
      <c r="G17" s="213"/>
      <c r="H17" s="214">
        <f>SUM(H12:H16)</f>
        <v>0</v>
      </c>
      <c r="I17" s="215"/>
    </row>
    <row r="18" spans="1:9" ht="15.9" customHeight="1">
      <c r="A18" s="530"/>
      <c r="B18" s="236" t="s">
        <v>146</v>
      </c>
      <c r="C18" s="267"/>
      <c r="D18" s="264"/>
      <c r="E18" s="264"/>
      <c r="F18" s="271"/>
      <c r="G18" s="269"/>
      <c r="H18" s="160">
        <f t="shared" ref="H18:H30" si="2">IF(F18=0,G18,G18*F18)</f>
        <v>0</v>
      </c>
      <c r="I18" s="272"/>
    </row>
    <row r="19" spans="1:9" ht="15.9" customHeight="1">
      <c r="A19" s="530"/>
      <c r="B19" s="193" t="s">
        <v>147</v>
      </c>
      <c r="C19" s="267"/>
      <c r="D19" s="264"/>
      <c r="E19" s="264"/>
      <c r="F19" s="271"/>
      <c r="G19" s="269"/>
      <c r="H19" s="160">
        <f t="shared" si="2"/>
        <v>0</v>
      </c>
      <c r="I19" s="272"/>
    </row>
    <row r="20" spans="1:9" ht="15.9" customHeight="1">
      <c r="A20" s="530"/>
      <c r="B20" s="193"/>
      <c r="C20" s="267"/>
      <c r="D20" s="264"/>
      <c r="E20" s="264"/>
      <c r="F20" s="271"/>
      <c r="G20" s="269"/>
      <c r="H20" s="160">
        <f t="shared" si="2"/>
        <v>0</v>
      </c>
      <c r="I20" s="272"/>
    </row>
    <row r="21" spans="1:9" ht="15.9" customHeight="1">
      <c r="A21" s="530"/>
      <c r="B21" s="193"/>
      <c r="C21" s="200"/>
      <c r="D21" s="264"/>
      <c r="E21" s="264"/>
      <c r="F21" s="271"/>
      <c r="G21" s="203"/>
      <c r="H21" s="160">
        <f t="shared" si="2"/>
        <v>0</v>
      </c>
      <c r="I21" s="272"/>
    </row>
    <row r="22" spans="1:9" ht="15.9" customHeight="1">
      <c r="A22" s="530"/>
      <c r="B22" s="193"/>
      <c r="C22" s="200"/>
      <c r="D22" s="264"/>
      <c r="E22" s="264"/>
      <c r="F22" s="268"/>
      <c r="G22" s="203"/>
      <c r="H22" s="160">
        <f t="shared" si="2"/>
        <v>0</v>
      </c>
      <c r="I22" s="272"/>
    </row>
    <row r="23" spans="1:9" ht="15.9" customHeight="1">
      <c r="A23" s="530"/>
      <c r="B23" s="193"/>
      <c r="C23" s="200"/>
      <c r="D23" s="201"/>
      <c r="E23" s="264"/>
      <c r="F23" s="268"/>
      <c r="G23" s="203"/>
      <c r="H23" s="160">
        <f t="shared" si="2"/>
        <v>0</v>
      </c>
      <c r="I23" s="272"/>
    </row>
    <row r="24" spans="1:9" ht="15.9" customHeight="1">
      <c r="A24" s="530"/>
      <c r="B24" s="193"/>
      <c r="C24" s="200"/>
      <c r="D24" s="267"/>
      <c r="E24" s="264"/>
      <c r="F24" s="268"/>
      <c r="G24" s="203"/>
      <c r="H24" s="160">
        <f t="shared" si="2"/>
        <v>0</v>
      </c>
      <c r="I24" s="25"/>
    </row>
    <row r="25" spans="1:9" ht="15.9" customHeight="1">
      <c r="A25" s="530"/>
      <c r="B25" s="193"/>
      <c r="C25" s="200"/>
      <c r="D25" s="264"/>
      <c r="E25" s="264"/>
      <c r="F25" s="268"/>
      <c r="G25" s="203"/>
      <c r="H25" s="160">
        <f t="shared" si="2"/>
        <v>0</v>
      </c>
      <c r="I25" s="272"/>
    </row>
    <row r="26" spans="1:9" ht="15.9" customHeight="1">
      <c r="A26" s="530"/>
      <c r="B26" s="193"/>
      <c r="C26" s="200"/>
      <c r="D26" s="264"/>
      <c r="E26" s="264"/>
      <c r="F26" s="271"/>
      <c r="G26" s="203"/>
      <c r="H26" s="160">
        <f t="shared" si="2"/>
        <v>0</v>
      </c>
      <c r="I26" s="272"/>
    </row>
    <row r="27" spans="1:9" ht="15.9" customHeight="1">
      <c r="A27" s="530"/>
      <c r="B27" s="193"/>
      <c r="C27" s="224"/>
      <c r="D27" s="331"/>
      <c r="E27" s="305"/>
      <c r="F27" s="306"/>
      <c r="G27" s="226"/>
      <c r="H27" s="160">
        <f t="shared" si="2"/>
        <v>0</v>
      </c>
      <c r="I27" s="329"/>
    </row>
    <row r="28" spans="1:9" ht="15.9" customHeight="1">
      <c r="A28" s="530"/>
      <c r="B28" s="193"/>
      <c r="C28" s="224"/>
      <c r="D28" s="331"/>
      <c r="E28" s="305"/>
      <c r="F28" s="306"/>
      <c r="G28" s="226"/>
      <c r="H28" s="160">
        <f t="shared" si="2"/>
        <v>0</v>
      </c>
      <c r="I28" s="329"/>
    </row>
    <row r="29" spans="1:9" ht="15.9" customHeight="1">
      <c r="A29" s="530"/>
      <c r="B29" s="193"/>
      <c r="C29" s="224"/>
      <c r="D29" s="331"/>
      <c r="E29" s="305"/>
      <c r="F29" s="306"/>
      <c r="G29" s="226"/>
      <c r="H29" s="160">
        <f t="shared" si="2"/>
        <v>0</v>
      </c>
      <c r="I29" s="329"/>
    </row>
    <row r="30" spans="1:9" ht="15.9" customHeight="1">
      <c r="A30" s="530"/>
      <c r="B30" s="193"/>
      <c r="C30" s="224"/>
      <c r="D30" s="331"/>
      <c r="E30" s="305"/>
      <c r="F30" s="306"/>
      <c r="G30" s="226"/>
      <c r="H30" s="160">
        <f t="shared" si="2"/>
        <v>0</v>
      </c>
      <c r="I30" s="329"/>
    </row>
    <row r="31" spans="1:9" ht="15.9" customHeight="1">
      <c r="A31" s="530"/>
      <c r="B31" s="193"/>
      <c r="C31" s="204"/>
      <c r="D31" s="205"/>
      <c r="E31" s="205"/>
      <c r="F31" s="206"/>
      <c r="G31" s="207"/>
      <c r="H31" s="161">
        <f t="shared" si="1"/>
        <v>0</v>
      </c>
      <c r="I31" s="208"/>
    </row>
    <row r="32" spans="1:9" ht="15.9" customHeight="1">
      <c r="A32" s="530"/>
      <c r="B32" s="209"/>
      <c r="C32" s="210"/>
      <c r="D32" s="211"/>
      <c r="E32" s="211"/>
      <c r="F32" s="213"/>
      <c r="G32" s="213"/>
      <c r="H32" s="214">
        <f>SUM(H18:H31)</f>
        <v>0</v>
      </c>
      <c r="I32" s="215"/>
    </row>
    <row r="33" spans="1:9" ht="15.9" customHeight="1">
      <c r="A33" s="530"/>
      <c r="B33" s="236" t="s">
        <v>49</v>
      </c>
      <c r="C33" s="200" t="s">
        <v>294</v>
      </c>
      <c r="D33" s="264"/>
      <c r="E33" s="264" t="s">
        <v>47</v>
      </c>
      <c r="F33" s="268">
        <v>4</v>
      </c>
      <c r="G33" s="203">
        <v>115000000</v>
      </c>
      <c r="H33" s="221">
        <f t="shared" si="1"/>
        <v>460000000</v>
      </c>
      <c r="I33" s="222" t="s">
        <v>248</v>
      </c>
    </row>
    <row r="34" spans="1:9" ht="15.9" customHeight="1">
      <c r="A34" s="530"/>
      <c r="B34" s="193"/>
      <c r="C34" s="200"/>
      <c r="D34" s="264"/>
      <c r="E34" s="264"/>
      <c r="F34" s="268"/>
      <c r="G34" s="203"/>
      <c r="H34" s="160">
        <f t="shared" si="1"/>
        <v>0</v>
      </c>
      <c r="I34" s="25"/>
    </row>
    <row r="35" spans="1:9" ht="15.9" customHeight="1">
      <c r="A35" s="530"/>
      <c r="B35" s="193"/>
      <c r="C35" s="200"/>
      <c r="D35" s="264"/>
      <c r="E35" s="264"/>
      <c r="F35" s="268"/>
      <c r="G35" s="203"/>
      <c r="H35" s="160">
        <f t="shared" si="1"/>
        <v>0</v>
      </c>
      <c r="I35" s="25"/>
    </row>
    <row r="36" spans="1:9" ht="15.9" customHeight="1">
      <c r="A36" s="530"/>
      <c r="B36" s="193"/>
      <c r="C36" s="200"/>
      <c r="D36" s="200"/>
      <c r="E36" s="200"/>
      <c r="F36" s="203"/>
      <c r="G36" s="203"/>
      <c r="H36" s="160">
        <f t="shared" si="1"/>
        <v>0</v>
      </c>
      <c r="I36" s="25"/>
    </row>
    <row r="37" spans="1:9" ht="15.9" customHeight="1">
      <c r="A37" s="530"/>
      <c r="B37" s="193"/>
      <c r="C37" s="200"/>
      <c r="D37" s="200"/>
      <c r="E37" s="200"/>
      <c r="F37" s="203"/>
      <c r="G37" s="203"/>
      <c r="H37" s="160">
        <f t="shared" si="1"/>
        <v>0</v>
      </c>
      <c r="I37" s="25"/>
    </row>
    <row r="38" spans="1:9" ht="15.9" customHeight="1">
      <c r="A38" s="530"/>
      <c r="B38" s="193"/>
      <c r="C38" s="200"/>
      <c r="D38" s="200"/>
      <c r="E38" s="200"/>
      <c r="F38" s="203"/>
      <c r="G38" s="203"/>
      <c r="H38" s="160">
        <f t="shared" si="1"/>
        <v>0</v>
      </c>
      <c r="I38" s="25"/>
    </row>
    <row r="39" spans="1:9" ht="15.9" customHeight="1">
      <c r="A39" s="530"/>
      <c r="B39" s="193"/>
      <c r="C39" s="204" t="s">
        <v>126</v>
      </c>
      <c r="D39" s="204"/>
      <c r="E39" s="205" t="s">
        <v>127</v>
      </c>
      <c r="F39" s="206"/>
      <c r="G39" s="207"/>
      <c r="H39" s="161">
        <f t="shared" si="1"/>
        <v>0</v>
      </c>
      <c r="I39" s="208"/>
    </row>
    <row r="40" spans="1:9" ht="15.9" customHeight="1">
      <c r="A40" s="530"/>
      <c r="B40" s="209"/>
      <c r="C40" s="210"/>
      <c r="D40" s="211"/>
      <c r="E40" s="211"/>
      <c r="F40" s="213"/>
      <c r="G40" s="213"/>
      <c r="H40" s="214">
        <f>SUM(H33:H39)</f>
        <v>460000000</v>
      </c>
      <c r="I40" s="215"/>
    </row>
    <row r="41" spans="1:9" ht="15.9" customHeight="1">
      <c r="A41" s="237"/>
      <c r="B41" s="238" t="s">
        <v>129</v>
      </c>
      <c r="C41" s="239"/>
      <c r="D41" s="215"/>
      <c r="E41" s="215"/>
      <c r="F41" s="241"/>
      <c r="G41" s="241"/>
      <c r="H41" s="214">
        <f>SUM(H40,H32,H17,H11)</f>
        <v>460000000</v>
      </c>
      <c r="I41" s="215"/>
    </row>
    <row r="42" spans="1:9" ht="15.9" customHeight="1">
      <c r="A42" s="531" t="s">
        <v>130</v>
      </c>
      <c r="B42" s="242" t="s">
        <v>55</v>
      </c>
      <c r="C42" s="239"/>
      <c r="D42" s="215"/>
      <c r="E42" s="243" t="s">
        <v>56</v>
      </c>
      <c r="F42" s="259"/>
      <c r="G42" s="245"/>
      <c r="H42" s="246">
        <f>F42*G42</f>
        <v>0</v>
      </c>
      <c r="I42" s="215"/>
    </row>
    <row r="43" spans="1:9" ht="15.9" customHeight="1">
      <c r="A43" s="530"/>
      <c r="B43" s="247" t="s">
        <v>148</v>
      </c>
      <c r="C43" s="248"/>
      <c r="D43" s="222"/>
      <c r="E43" s="249" t="s">
        <v>132</v>
      </c>
      <c r="F43" s="274"/>
      <c r="G43" s="220"/>
      <c r="H43" s="221">
        <f t="shared" ref="H43:H49" si="3">F43*G43</f>
        <v>0</v>
      </c>
      <c r="I43" s="222"/>
    </row>
    <row r="44" spans="1:9" ht="15.9" customHeight="1">
      <c r="A44" s="530"/>
      <c r="B44" s="281" t="s">
        <v>149</v>
      </c>
      <c r="C44" s="251"/>
      <c r="D44" s="25"/>
      <c r="E44" s="252" t="s">
        <v>132</v>
      </c>
      <c r="F44" s="275"/>
      <c r="G44" s="203"/>
      <c r="H44" s="160">
        <f t="shared" si="3"/>
        <v>0</v>
      </c>
      <c r="I44" s="25"/>
    </row>
    <row r="45" spans="1:9" ht="15.9" customHeight="1">
      <c r="A45" s="530"/>
      <c r="B45" s="250" t="s">
        <v>150</v>
      </c>
      <c r="C45" s="251"/>
      <c r="D45" s="25"/>
      <c r="E45" s="252" t="s">
        <v>132</v>
      </c>
      <c r="F45" s="275"/>
      <c r="G45" s="203"/>
      <c r="H45" s="160">
        <f t="shared" si="3"/>
        <v>0</v>
      </c>
      <c r="I45" s="25"/>
    </row>
    <row r="46" spans="1:9" ht="15.9" customHeight="1">
      <c r="A46" s="530"/>
      <c r="B46" s="250" t="s">
        <v>151</v>
      </c>
      <c r="C46" s="251"/>
      <c r="D46" s="25"/>
      <c r="E46" s="252" t="s">
        <v>132</v>
      </c>
      <c r="F46" s="203"/>
      <c r="G46" s="203"/>
      <c r="H46" s="160">
        <f t="shared" si="3"/>
        <v>0</v>
      </c>
      <c r="I46" s="25"/>
    </row>
    <row r="47" spans="1:9" ht="15.9" customHeight="1">
      <c r="A47" s="530"/>
      <c r="B47" s="250" t="s">
        <v>152</v>
      </c>
      <c r="C47" s="251"/>
      <c r="D47" s="25"/>
      <c r="E47" s="252" t="s">
        <v>132</v>
      </c>
      <c r="F47" s="203"/>
      <c r="G47" s="203"/>
      <c r="H47" s="160">
        <f t="shared" si="3"/>
        <v>0</v>
      </c>
      <c r="I47" s="25"/>
    </row>
    <row r="48" spans="1:9" ht="15.9" customHeight="1">
      <c r="A48" s="530"/>
      <c r="B48" s="250" t="s">
        <v>153</v>
      </c>
      <c r="C48" s="251"/>
      <c r="D48" s="25"/>
      <c r="E48" s="252" t="s">
        <v>132</v>
      </c>
      <c r="F48" s="203"/>
      <c r="G48" s="203"/>
      <c r="H48" s="160">
        <f t="shared" si="3"/>
        <v>0</v>
      </c>
      <c r="I48" s="25"/>
    </row>
    <row r="49" spans="1:9" ht="15.9" customHeight="1">
      <c r="A49" s="530"/>
      <c r="B49" s="253" t="s">
        <v>157</v>
      </c>
      <c r="C49" s="254"/>
      <c r="D49" s="208"/>
      <c r="E49" s="255" t="s">
        <v>132</v>
      </c>
      <c r="F49" s="207"/>
      <c r="G49" s="207"/>
      <c r="H49" s="161">
        <f t="shared" si="3"/>
        <v>0</v>
      </c>
      <c r="I49" s="208"/>
    </row>
    <row r="50" spans="1:9" ht="15.9" customHeight="1">
      <c r="A50" s="237"/>
      <c r="B50" s="256" t="s">
        <v>138</v>
      </c>
      <c r="C50" s="239"/>
      <c r="D50" s="215"/>
      <c r="E50" s="191"/>
      <c r="F50" s="213"/>
      <c r="G50" s="213"/>
      <c r="H50" s="213">
        <f>SUM(H42:H49)</f>
        <v>0</v>
      </c>
      <c r="I50" s="211"/>
    </row>
    <row r="51" spans="1:9" ht="15.9" customHeight="1">
      <c r="A51" s="243"/>
      <c r="B51" s="256" t="s">
        <v>155</v>
      </c>
      <c r="C51" s="239"/>
      <c r="D51" s="215"/>
      <c r="E51" s="215"/>
      <c r="F51" s="214"/>
      <c r="G51" s="214"/>
      <c r="H51" s="241">
        <f>'단위공사별(집계)'!L13+'단위공사별(집계)'!I13</f>
        <v>10668934.459498638</v>
      </c>
      <c r="I51" s="215"/>
    </row>
    <row r="52" spans="1:9" ht="15.9" customHeight="1">
      <c r="A52" s="243"/>
      <c r="B52" s="256" t="s">
        <v>80</v>
      </c>
      <c r="C52" s="239"/>
      <c r="D52" s="215"/>
      <c r="E52" s="215"/>
      <c r="F52" s="214"/>
      <c r="G52" s="258"/>
      <c r="H52" s="259"/>
      <c r="I52" s="239"/>
    </row>
    <row r="53" spans="1:9" ht="15.9" customHeight="1">
      <c r="A53" s="243"/>
      <c r="B53" s="256" t="s">
        <v>141</v>
      </c>
      <c r="C53" s="239"/>
      <c r="D53" s="215"/>
      <c r="E53" s="215"/>
      <c r="F53" s="214"/>
      <c r="G53" s="258"/>
      <c r="H53" s="259"/>
      <c r="I53" s="239"/>
    </row>
    <row r="54" spans="1:9" ht="15.9" customHeight="1">
      <c r="A54" s="243"/>
      <c r="B54" s="256" t="s">
        <v>142</v>
      </c>
      <c r="C54" s="239"/>
      <c r="D54" s="215"/>
      <c r="E54" s="215"/>
      <c r="F54" s="214"/>
      <c r="G54" s="214"/>
      <c r="H54" s="213">
        <f>H41+H50+H51+H52+H53</f>
        <v>470668934.45949864</v>
      </c>
      <c r="I54" s="215"/>
    </row>
    <row r="55" spans="1:9">
      <c r="A55" s="121"/>
    </row>
  </sheetData>
  <mergeCells count="3">
    <mergeCell ref="A2:B2"/>
    <mergeCell ref="A3:A40"/>
    <mergeCell ref="A42:A4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B050"/>
    <pageSetUpPr fitToPage="1"/>
  </sheetPr>
  <dimension ref="A1:J69"/>
  <sheetViews>
    <sheetView zoomScale="115" zoomScaleNormal="115" workbookViewId="0">
      <pane xSplit="2" ySplit="2" topLeftCell="C44" activePane="bottomRight" state="frozen"/>
      <selection activeCell="K5" sqref="K5"/>
      <selection pane="topRight" activeCell="K5" sqref="K5"/>
      <selection pane="bottomLeft" activeCell="K5" sqref="K5"/>
      <selection pane="bottomRight" activeCell="H65" sqref="H65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 t="s">
        <v>196</v>
      </c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24" t="s">
        <v>174</v>
      </c>
      <c r="D3" s="305"/>
      <c r="E3" s="331" t="s">
        <v>167</v>
      </c>
      <c r="F3" s="225">
        <v>4</v>
      </c>
      <c r="G3" s="226">
        <v>2500000</v>
      </c>
      <c r="H3" s="227">
        <f>IF(F3=0,G3,G3*F3)</f>
        <v>10000000</v>
      </c>
      <c r="I3" s="329" t="s">
        <v>261</v>
      </c>
    </row>
    <row r="4" spans="1:9" ht="15.9" customHeight="1">
      <c r="A4" s="530"/>
      <c r="B4" s="193"/>
      <c r="C4" s="267" t="s">
        <v>266</v>
      </c>
      <c r="D4" s="267"/>
      <c r="E4" s="201" t="s">
        <v>169</v>
      </c>
      <c r="F4" s="202">
        <v>4</v>
      </c>
      <c r="G4" s="269">
        <v>7000000</v>
      </c>
      <c r="H4" s="160">
        <f>IF(F4=0,G4,G4*F4)</f>
        <v>28000000</v>
      </c>
      <c r="I4" s="272" t="s">
        <v>222</v>
      </c>
    </row>
    <row r="5" spans="1:9" ht="15.9" customHeight="1">
      <c r="A5" s="530"/>
      <c r="B5" s="193"/>
      <c r="C5" s="267" t="s">
        <v>264</v>
      </c>
      <c r="D5" s="267"/>
      <c r="E5" s="201" t="s">
        <v>167</v>
      </c>
      <c r="F5" s="202">
        <v>1</v>
      </c>
      <c r="G5" s="269">
        <v>3000000</v>
      </c>
      <c r="H5" s="160">
        <f>IF(F5=0,G5,G5*F5)</f>
        <v>3000000</v>
      </c>
      <c r="I5" s="272" t="s">
        <v>222</v>
      </c>
    </row>
    <row r="6" spans="1:9" ht="15.9" customHeight="1">
      <c r="A6" s="530"/>
      <c r="B6" s="193"/>
      <c r="C6" s="267" t="s">
        <v>380</v>
      </c>
      <c r="D6" s="267"/>
      <c r="E6" s="201" t="s">
        <v>167</v>
      </c>
      <c r="F6" s="202">
        <v>4</v>
      </c>
      <c r="G6" s="269">
        <v>4000000</v>
      </c>
      <c r="H6" s="160">
        <f>F6*G6</f>
        <v>16000000</v>
      </c>
      <c r="I6" s="272" t="s">
        <v>222</v>
      </c>
    </row>
    <row r="7" spans="1:9" ht="15.9" customHeight="1">
      <c r="A7" s="530"/>
      <c r="B7" s="193"/>
      <c r="C7" s="200" t="s">
        <v>262</v>
      </c>
      <c r="D7" s="200"/>
      <c r="E7" s="201" t="s">
        <v>167</v>
      </c>
      <c r="F7" s="268">
        <v>1</v>
      </c>
      <c r="G7" s="203">
        <v>2500000</v>
      </c>
      <c r="H7" s="160">
        <f t="shared" ref="H7:H9" si="0">IF(F7=0,G7,G7*F7)</f>
        <v>2500000</v>
      </c>
      <c r="I7" s="272" t="s">
        <v>252</v>
      </c>
    </row>
    <row r="8" spans="1:9" ht="15.9" customHeight="1">
      <c r="A8" s="530"/>
      <c r="B8" s="193"/>
      <c r="C8" s="267" t="s">
        <v>246</v>
      </c>
      <c r="D8" s="267"/>
      <c r="E8" s="201" t="s">
        <v>167</v>
      </c>
      <c r="F8" s="268">
        <v>1</v>
      </c>
      <c r="G8" s="269">
        <v>1000000</v>
      </c>
      <c r="H8" s="160">
        <f t="shared" si="0"/>
        <v>1000000</v>
      </c>
      <c r="I8" s="272" t="s">
        <v>222</v>
      </c>
    </row>
    <row r="9" spans="1:9" ht="15.9" customHeight="1">
      <c r="A9" s="530"/>
      <c r="B9" s="193"/>
      <c r="C9" s="267" t="s">
        <v>221</v>
      </c>
      <c r="D9" s="267"/>
      <c r="E9" s="201" t="s">
        <v>167</v>
      </c>
      <c r="F9" s="268">
        <v>1</v>
      </c>
      <c r="G9" s="269">
        <v>3000000</v>
      </c>
      <c r="H9" s="160">
        <f t="shared" si="0"/>
        <v>3000000</v>
      </c>
      <c r="I9" s="272" t="s">
        <v>222</v>
      </c>
    </row>
    <row r="10" spans="1:9" ht="15.9" customHeight="1">
      <c r="A10" s="530"/>
      <c r="B10" s="193"/>
      <c r="C10" s="200"/>
      <c r="D10" s="200"/>
      <c r="E10" s="200"/>
      <c r="F10" s="203"/>
      <c r="G10" s="203"/>
      <c r="H10" s="160">
        <f t="shared" ref="H10:H53" si="1">IF(F10=0,G10,G10*F10)</f>
        <v>0</v>
      </c>
      <c r="I10" s="25"/>
    </row>
    <row r="11" spans="1:9" ht="15.9" customHeight="1">
      <c r="A11" s="530"/>
      <c r="B11" s="193"/>
      <c r="C11" s="200"/>
      <c r="D11" s="200"/>
      <c r="E11" s="200"/>
      <c r="F11" s="203"/>
      <c r="G11" s="203"/>
      <c r="H11" s="160">
        <f t="shared" si="1"/>
        <v>0</v>
      </c>
      <c r="I11" s="25"/>
    </row>
    <row r="12" spans="1:9" ht="15.9" customHeight="1">
      <c r="A12" s="530"/>
      <c r="B12" s="193"/>
      <c r="C12" s="200"/>
      <c r="D12" s="200"/>
      <c r="E12" s="200"/>
      <c r="F12" s="203"/>
      <c r="G12" s="203"/>
      <c r="H12" s="160">
        <f t="shared" si="1"/>
        <v>0</v>
      </c>
      <c r="I12" s="25"/>
    </row>
    <row r="13" spans="1:9" ht="15.9" customHeight="1">
      <c r="A13" s="530"/>
      <c r="B13" s="193"/>
      <c r="C13" s="200"/>
      <c r="D13" s="200"/>
      <c r="E13" s="200"/>
      <c r="F13" s="203"/>
      <c r="G13" s="203"/>
      <c r="H13" s="160">
        <f t="shared" si="1"/>
        <v>0</v>
      </c>
      <c r="I13" s="25"/>
    </row>
    <row r="14" spans="1:9" ht="15.9" customHeight="1">
      <c r="A14" s="530"/>
      <c r="B14" s="193"/>
      <c r="C14" s="204" t="s">
        <v>126</v>
      </c>
      <c r="D14" s="224"/>
      <c r="E14" s="224"/>
      <c r="F14" s="226"/>
      <c r="G14" s="226"/>
      <c r="H14" s="227">
        <f t="shared" si="1"/>
        <v>0</v>
      </c>
      <c r="I14" s="228"/>
    </row>
    <row r="15" spans="1:9" ht="15.9" customHeight="1">
      <c r="A15" s="530"/>
      <c r="B15" s="209"/>
      <c r="C15" s="235"/>
      <c r="D15" s="235"/>
      <c r="E15" s="235"/>
      <c r="F15" s="233"/>
      <c r="G15" s="233"/>
      <c r="H15" s="234">
        <f>SUM(H3:H14)</f>
        <v>63500000</v>
      </c>
      <c r="I15" s="235"/>
    </row>
    <row r="16" spans="1:9" ht="15.9" customHeight="1">
      <c r="A16" s="530"/>
      <c r="B16" s="193" t="s">
        <v>144</v>
      </c>
      <c r="C16" s="194"/>
      <c r="D16" s="194"/>
      <c r="E16" s="194"/>
      <c r="F16" s="197"/>
      <c r="G16" s="197"/>
      <c r="H16" s="198">
        <f t="shared" si="1"/>
        <v>0</v>
      </c>
      <c r="I16" s="199"/>
    </row>
    <row r="17" spans="1:9" ht="15.9" customHeight="1">
      <c r="A17" s="530"/>
      <c r="B17" s="193" t="s">
        <v>145</v>
      </c>
      <c r="C17" s="200"/>
      <c r="D17" s="200"/>
      <c r="E17" s="200"/>
      <c r="F17" s="203"/>
      <c r="G17" s="203"/>
      <c r="H17" s="160">
        <f t="shared" si="1"/>
        <v>0</v>
      </c>
      <c r="I17" s="25"/>
    </row>
    <row r="18" spans="1:9" ht="15.9" customHeight="1">
      <c r="A18" s="530"/>
      <c r="B18" s="193"/>
      <c r="C18" s="200"/>
      <c r="D18" s="200"/>
      <c r="E18" s="200"/>
      <c r="F18" s="203"/>
      <c r="G18" s="203"/>
      <c r="H18" s="160">
        <f t="shared" si="1"/>
        <v>0</v>
      </c>
      <c r="I18" s="25"/>
    </row>
    <row r="19" spans="1:9" ht="15.9" customHeight="1">
      <c r="A19" s="530"/>
      <c r="B19" s="193"/>
      <c r="C19" s="200"/>
      <c r="D19" s="200"/>
      <c r="E19" s="200"/>
      <c r="F19" s="203"/>
      <c r="G19" s="203"/>
      <c r="H19" s="160">
        <f t="shared" si="1"/>
        <v>0</v>
      </c>
      <c r="I19" s="25"/>
    </row>
    <row r="20" spans="1:9" ht="15.9" customHeight="1">
      <c r="A20" s="530"/>
      <c r="B20" s="193"/>
      <c r="C20" s="204" t="s">
        <v>126</v>
      </c>
      <c r="D20" s="204"/>
      <c r="E20" s="204"/>
      <c r="F20" s="207"/>
      <c r="G20" s="207"/>
      <c r="H20" s="160">
        <f t="shared" si="1"/>
        <v>0</v>
      </c>
      <c r="I20" s="208"/>
    </row>
    <row r="21" spans="1:9" ht="15.9" customHeight="1">
      <c r="A21" s="530"/>
      <c r="B21" s="209"/>
      <c r="C21" s="210"/>
      <c r="D21" s="211"/>
      <c r="E21" s="211"/>
      <c r="F21" s="270"/>
      <c r="G21" s="213"/>
      <c r="H21" s="214">
        <f>SUM(H16:H20)</f>
        <v>0</v>
      </c>
      <c r="I21" s="215"/>
    </row>
    <row r="22" spans="1:9" ht="15.9" customHeight="1">
      <c r="A22" s="530"/>
      <c r="B22" s="236" t="s">
        <v>146</v>
      </c>
      <c r="C22" s="323" t="s">
        <v>363</v>
      </c>
      <c r="D22" s="267" t="s">
        <v>364</v>
      </c>
      <c r="E22" s="264" t="s">
        <v>167</v>
      </c>
      <c r="F22" s="264">
        <v>1</v>
      </c>
      <c r="G22" s="269">
        <v>500000</v>
      </c>
      <c r="H22" s="381">
        <f t="shared" ref="H22:H31" si="2">IF(F22=0,G22,G22*F22)</f>
        <v>500000</v>
      </c>
      <c r="I22" s="376" t="s">
        <v>205</v>
      </c>
    </row>
    <row r="23" spans="1:9" ht="15.9" customHeight="1">
      <c r="A23" s="530"/>
      <c r="B23" s="193" t="s">
        <v>147</v>
      </c>
      <c r="C23" s="267" t="s">
        <v>349</v>
      </c>
      <c r="D23" s="267" t="s">
        <v>365</v>
      </c>
      <c r="E23" s="264" t="s">
        <v>167</v>
      </c>
      <c r="F23" s="264">
        <v>1</v>
      </c>
      <c r="G23" s="269">
        <v>300000</v>
      </c>
      <c r="H23" s="381">
        <f t="shared" si="2"/>
        <v>300000</v>
      </c>
      <c r="I23" s="376" t="s">
        <v>205</v>
      </c>
    </row>
    <row r="24" spans="1:9" ht="15.9" customHeight="1">
      <c r="A24" s="530"/>
      <c r="B24" s="193"/>
      <c r="C24" s="267" t="s">
        <v>353</v>
      </c>
      <c r="D24" s="267" t="s">
        <v>366</v>
      </c>
      <c r="E24" s="264" t="s">
        <v>167</v>
      </c>
      <c r="F24" s="264">
        <v>5</v>
      </c>
      <c r="G24" s="269">
        <v>60000</v>
      </c>
      <c r="H24" s="381">
        <f t="shared" si="2"/>
        <v>300000</v>
      </c>
      <c r="I24" s="376" t="s">
        <v>205</v>
      </c>
    </row>
    <row r="25" spans="1:9" ht="15.9" customHeight="1">
      <c r="A25" s="530"/>
      <c r="B25" s="193"/>
      <c r="C25" s="323" t="s">
        <v>367</v>
      </c>
      <c r="D25" s="267" t="s">
        <v>368</v>
      </c>
      <c r="E25" s="264" t="s">
        <v>167</v>
      </c>
      <c r="F25" s="264">
        <v>1</v>
      </c>
      <c r="G25" s="269">
        <v>30000</v>
      </c>
      <c r="H25" s="381">
        <f t="shared" si="2"/>
        <v>30000</v>
      </c>
      <c r="I25" s="376" t="s">
        <v>205</v>
      </c>
    </row>
    <row r="26" spans="1:9" ht="15.9" customHeight="1">
      <c r="A26" s="530"/>
      <c r="B26" s="193"/>
      <c r="C26" s="267" t="s">
        <v>369</v>
      </c>
      <c r="D26" s="267" t="s">
        <v>370</v>
      </c>
      <c r="E26" s="264" t="s">
        <v>167</v>
      </c>
      <c r="F26" s="264">
        <v>1</v>
      </c>
      <c r="G26" s="269">
        <v>100000</v>
      </c>
      <c r="H26" s="381">
        <f t="shared" si="2"/>
        <v>100000</v>
      </c>
      <c r="I26" s="376" t="s">
        <v>205</v>
      </c>
    </row>
    <row r="27" spans="1:9" ht="15.9" customHeight="1">
      <c r="A27" s="530"/>
      <c r="B27" s="193"/>
      <c r="C27" s="323" t="s">
        <v>371</v>
      </c>
      <c r="D27" s="267" t="s">
        <v>372</v>
      </c>
      <c r="E27" s="264" t="s">
        <v>167</v>
      </c>
      <c r="F27" s="264">
        <v>1</v>
      </c>
      <c r="G27" s="269">
        <v>150000</v>
      </c>
      <c r="H27" s="381">
        <f t="shared" si="2"/>
        <v>150000</v>
      </c>
      <c r="I27" s="376" t="s">
        <v>205</v>
      </c>
    </row>
    <row r="28" spans="1:9" ht="15.9" customHeight="1">
      <c r="A28" s="530"/>
      <c r="B28" s="193"/>
      <c r="C28" s="267" t="s">
        <v>373</v>
      </c>
      <c r="D28" s="267" t="s">
        <v>374</v>
      </c>
      <c r="E28" s="264" t="s">
        <v>167</v>
      </c>
      <c r="F28" s="264">
        <v>1</v>
      </c>
      <c r="G28" s="269">
        <v>90000</v>
      </c>
      <c r="H28" s="381">
        <f t="shared" si="2"/>
        <v>90000</v>
      </c>
      <c r="I28" s="376" t="s">
        <v>205</v>
      </c>
    </row>
    <row r="29" spans="1:9" ht="15.9" customHeight="1">
      <c r="A29" s="530"/>
      <c r="B29" s="193"/>
      <c r="C29" s="267" t="s">
        <v>375</v>
      </c>
      <c r="D29" s="267" t="s">
        <v>376</v>
      </c>
      <c r="E29" s="264" t="s">
        <v>167</v>
      </c>
      <c r="F29" s="264">
        <v>1</v>
      </c>
      <c r="G29" s="269">
        <v>80000</v>
      </c>
      <c r="H29" s="381">
        <f t="shared" si="2"/>
        <v>80000</v>
      </c>
      <c r="I29" s="376" t="s">
        <v>205</v>
      </c>
    </row>
    <row r="30" spans="1:9" ht="15.9" customHeight="1">
      <c r="A30" s="530"/>
      <c r="B30" s="193"/>
      <c r="C30" s="323" t="s">
        <v>377</v>
      </c>
      <c r="D30" s="267" t="s">
        <v>378</v>
      </c>
      <c r="E30" s="264" t="s">
        <v>167</v>
      </c>
      <c r="F30" s="264">
        <v>2</v>
      </c>
      <c r="G30" s="269">
        <v>500000</v>
      </c>
      <c r="H30" s="381">
        <f t="shared" si="2"/>
        <v>1000000</v>
      </c>
      <c r="I30" s="376" t="s">
        <v>205</v>
      </c>
    </row>
    <row r="31" spans="1:9" ht="15.9" customHeight="1">
      <c r="A31" s="530"/>
      <c r="B31" s="193"/>
      <c r="C31" s="323" t="s">
        <v>377</v>
      </c>
      <c r="D31" s="267" t="s">
        <v>379</v>
      </c>
      <c r="E31" s="264" t="s">
        <v>167</v>
      </c>
      <c r="F31" s="264">
        <v>2</v>
      </c>
      <c r="G31" s="269">
        <v>100000</v>
      </c>
      <c r="H31" s="381">
        <f t="shared" si="2"/>
        <v>200000</v>
      </c>
      <c r="I31" s="376" t="s">
        <v>205</v>
      </c>
    </row>
    <row r="32" spans="1:9" ht="15.9" customHeight="1">
      <c r="A32" s="530"/>
      <c r="B32" s="193"/>
      <c r="C32" s="267" t="s">
        <v>383</v>
      </c>
      <c r="D32" s="264" t="s">
        <v>384</v>
      </c>
      <c r="E32" s="264" t="s">
        <v>167</v>
      </c>
      <c r="F32" s="271">
        <v>4</v>
      </c>
      <c r="G32" s="269">
        <v>8000000</v>
      </c>
      <c r="H32" s="160">
        <f t="shared" si="1"/>
        <v>32000000</v>
      </c>
      <c r="I32" s="25" t="s">
        <v>217</v>
      </c>
    </row>
    <row r="33" spans="1:10" ht="15.9" customHeight="1">
      <c r="A33" s="530"/>
      <c r="B33" s="193"/>
      <c r="C33" s="267" t="s">
        <v>165</v>
      </c>
      <c r="D33" s="264" t="s">
        <v>235</v>
      </c>
      <c r="E33" s="264" t="s">
        <v>167</v>
      </c>
      <c r="F33" s="271">
        <v>5</v>
      </c>
      <c r="G33" s="269">
        <v>1000000</v>
      </c>
      <c r="H33" s="160">
        <f t="shared" si="1"/>
        <v>5000000</v>
      </c>
      <c r="I33" s="272" t="s">
        <v>207</v>
      </c>
    </row>
    <row r="34" spans="1:10" ht="15.9" customHeight="1">
      <c r="A34" s="530"/>
      <c r="B34" s="193"/>
      <c r="C34" s="267" t="s">
        <v>166</v>
      </c>
      <c r="D34" s="264" t="s">
        <v>247</v>
      </c>
      <c r="E34" s="264" t="s">
        <v>167</v>
      </c>
      <c r="F34" s="271">
        <v>5</v>
      </c>
      <c r="G34" s="269">
        <v>2500000</v>
      </c>
      <c r="H34" s="160">
        <f t="shared" si="1"/>
        <v>12500000</v>
      </c>
      <c r="I34" s="272" t="s">
        <v>208</v>
      </c>
    </row>
    <row r="35" spans="1:10" ht="15.9" customHeight="1">
      <c r="A35" s="530"/>
      <c r="B35" s="193"/>
      <c r="C35" s="200" t="s">
        <v>209</v>
      </c>
      <c r="D35" s="264" t="s">
        <v>210</v>
      </c>
      <c r="E35" s="264" t="s">
        <v>167</v>
      </c>
      <c r="F35" s="268">
        <v>8</v>
      </c>
      <c r="G35" s="203">
        <v>500000</v>
      </c>
      <c r="H35" s="160">
        <f t="shared" si="1"/>
        <v>4000000</v>
      </c>
      <c r="I35" s="272" t="s">
        <v>215</v>
      </c>
    </row>
    <row r="36" spans="1:10" ht="15.9" customHeight="1">
      <c r="A36" s="530"/>
      <c r="B36" s="193"/>
      <c r="C36" s="200" t="s">
        <v>168</v>
      </c>
      <c r="D36" s="264" t="s">
        <v>211</v>
      </c>
      <c r="E36" s="264" t="s">
        <v>167</v>
      </c>
      <c r="F36" s="271">
        <v>8</v>
      </c>
      <c r="G36" s="203">
        <v>2500000</v>
      </c>
      <c r="H36" s="160">
        <f t="shared" si="1"/>
        <v>20000000</v>
      </c>
      <c r="I36" s="272" t="s">
        <v>216</v>
      </c>
    </row>
    <row r="37" spans="1:10" ht="15.9" customHeight="1">
      <c r="A37" s="530"/>
      <c r="B37" s="193"/>
      <c r="C37" s="200" t="s">
        <v>197</v>
      </c>
      <c r="D37" s="267" t="s">
        <v>382</v>
      </c>
      <c r="E37" s="264" t="s">
        <v>167</v>
      </c>
      <c r="F37" s="268">
        <v>1</v>
      </c>
      <c r="G37" s="203">
        <v>2000000</v>
      </c>
      <c r="H37" s="160">
        <f t="shared" si="1"/>
        <v>2000000</v>
      </c>
      <c r="I37" s="272" t="s">
        <v>381</v>
      </c>
    </row>
    <row r="38" spans="1:10" ht="15.9" customHeight="1">
      <c r="A38" s="530"/>
      <c r="B38" s="193"/>
      <c r="C38" s="200" t="s">
        <v>178</v>
      </c>
      <c r="D38" s="264" t="s">
        <v>269</v>
      </c>
      <c r="E38" s="264" t="s">
        <v>167</v>
      </c>
      <c r="F38" s="268">
        <v>4</v>
      </c>
      <c r="G38" s="203">
        <v>2000000</v>
      </c>
      <c r="H38" s="160">
        <f t="shared" si="1"/>
        <v>8000000</v>
      </c>
      <c r="I38" s="272" t="s">
        <v>263</v>
      </c>
    </row>
    <row r="39" spans="1:10" ht="15.9" customHeight="1">
      <c r="A39" s="530"/>
      <c r="B39" s="193"/>
      <c r="C39" s="200" t="s">
        <v>288</v>
      </c>
      <c r="D39" s="264" t="s">
        <v>282</v>
      </c>
      <c r="E39" s="264" t="s">
        <v>167</v>
      </c>
      <c r="F39" s="268">
        <v>4</v>
      </c>
      <c r="G39" s="203">
        <v>12500000</v>
      </c>
      <c r="H39" s="160">
        <f t="shared" si="1"/>
        <v>50000000</v>
      </c>
      <c r="I39" s="272" t="s">
        <v>280</v>
      </c>
      <c r="J39" s="330" t="s">
        <v>293</v>
      </c>
    </row>
    <row r="40" spans="1:10" ht="15.9" customHeight="1">
      <c r="A40" s="530"/>
      <c r="B40" s="193"/>
      <c r="C40" s="200" t="s">
        <v>180</v>
      </c>
      <c r="D40" s="264" t="s">
        <v>281</v>
      </c>
      <c r="E40" s="264" t="s">
        <v>167</v>
      </c>
      <c r="F40" s="268">
        <v>4</v>
      </c>
      <c r="G40" s="203">
        <v>22000000</v>
      </c>
      <c r="H40" s="160">
        <f t="shared" si="1"/>
        <v>88000000</v>
      </c>
      <c r="I40" s="272" t="s">
        <v>280</v>
      </c>
    </row>
    <row r="41" spans="1:10" ht="15.9" customHeight="1">
      <c r="A41" s="530"/>
      <c r="B41" s="193"/>
      <c r="C41" s="200" t="s">
        <v>240</v>
      </c>
      <c r="D41" s="264" t="s">
        <v>243</v>
      </c>
      <c r="E41" s="264" t="s">
        <v>167</v>
      </c>
      <c r="F41" s="268">
        <v>1</v>
      </c>
      <c r="G41" s="203">
        <v>2500000</v>
      </c>
      <c r="H41" s="160">
        <f t="shared" si="1"/>
        <v>2500000</v>
      </c>
      <c r="I41" s="272" t="s">
        <v>241</v>
      </c>
    </row>
    <row r="42" spans="1:10" ht="15.9" customHeight="1">
      <c r="A42" s="530"/>
      <c r="B42" s="193"/>
      <c r="C42" s="200" t="s">
        <v>189</v>
      </c>
      <c r="D42" s="201" t="s">
        <v>244</v>
      </c>
      <c r="E42" s="264" t="s">
        <v>167</v>
      </c>
      <c r="F42" s="268">
        <v>1</v>
      </c>
      <c r="G42" s="203">
        <v>1500000</v>
      </c>
      <c r="H42" s="160">
        <f t="shared" si="1"/>
        <v>1500000</v>
      </c>
      <c r="I42" s="272" t="s">
        <v>245</v>
      </c>
    </row>
    <row r="43" spans="1:10" ht="15.9" customHeight="1">
      <c r="A43" s="530"/>
      <c r="B43" s="193"/>
      <c r="C43" s="224"/>
      <c r="D43" s="331"/>
      <c r="E43" s="305"/>
      <c r="F43" s="306"/>
      <c r="G43" s="226"/>
      <c r="H43" s="227"/>
      <c r="I43" s="329"/>
    </row>
    <row r="44" spans="1:10" ht="15.9" customHeight="1">
      <c r="A44" s="530"/>
      <c r="B44" s="193"/>
      <c r="C44" s="224"/>
      <c r="D44" s="305"/>
      <c r="E44" s="305"/>
      <c r="F44" s="306"/>
      <c r="G44" s="226"/>
      <c r="H44" s="227"/>
      <c r="I44" s="329"/>
    </row>
    <row r="45" spans="1:10" ht="15.9" customHeight="1">
      <c r="A45" s="530"/>
      <c r="B45" s="193"/>
      <c r="C45" s="224"/>
      <c r="D45" s="278"/>
      <c r="E45" s="305"/>
      <c r="F45" s="306"/>
      <c r="G45" s="226"/>
      <c r="H45" s="227">
        <f t="shared" si="1"/>
        <v>0</v>
      </c>
      <c r="I45" s="208"/>
    </row>
    <row r="46" spans="1:10" ht="15.9" customHeight="1">
      <c r="A46" s="530"/>
      <c r="B46" s="209"/>
      <c r="C46" s="239"/>
      <c r="D46" s="215"/>
      <c r="E46" s="215"/>
      <c r="F46" s="214"/>
      <c r="G46" s="214"/>
      <c r="H46" s="214">
        <f>SUM(H22:H45)</f>
        <v>228250000</v>
      </c>
      <c r="I46" s="215"/>
    </row>
    <row r="47" spans="1:10" ht="15.9" customHeight="1">
      <c r="A47" s="530"/>
      <c r="B47" s="236" t="s">
        <v>49</v>
      </c>
      <c r="C47" s="217"/>
      <c r="D47" s="217"/>
      <c r="E47" s="217"/>
      <c r="F47" s="220"/>
      <c r="G47" s="220"/>
      <c r="H47" s="221">
        <f t="shared" si="1"/>
        <v>0</v>
      </c>
      <c r="I47" s="222"/>
    </row>
    <row r="48" spans="1:10" ht="15.9" customHeight="1">
      <c r="A48" s="530"/>
      <c r="B48" s="193"/>
      <c r="C48" s="200"/>
      <c r="D48" s="200"/>
      <c r="E48" s="200"/>
      <c r="F48" s="203"/>
      <c r="G48" s="203"/>
      <c r="H48" s="160">
        <f t="shared" si="1"/>
        <v>0</v>
      </c>
      <c r="I48" s="25"/>
    </row>
    <row r="49" spans="1:9" ht="15.9" customHeight="1">
      <c r="A49" s="530"/>
      <c r="B49" s="193"/>
      <c r="C49" s="200"/>
      <c r="D49" s="200"/>
      <c r="E49" s="200"/>
      <c r="F49" s="203"/>
      <c r="G49" s="203"/>
      <c r="H49" s="160">
        <f t="shared" si="1"/>
        <v>0</v>
      </c>
      <c r="I49" s="25"/>
    </row>
    <row r="50" spans="1:9" ht="15.9" customHeight="1">
      <c r="A50" s="530"/>
      <c r="B50" s="193"/>
      <c r="C50" s="200"/>
      <c r="D50" s="200"/>
      <c r="E50" s="200"/>
      <c r="F50" s="203"/>
      <c r="G50" s="203"/>
      <c r="H50" s="160">
        <f t="shared" si="1"/>
        <v>0</v>
      </c>
      <c r="I50" s="25"/>
    </row>
    <row r="51" spans="1:9" ht="15.9" customHeight="1">
      <c r="A51" s="530"/>
      <c r="B51" s="193"/>
      <c r="C51" s="200"/>
      <c r="D51" s="200"/>
      <c r="E51" s="200"/>
      <c r="F51" s="203"/>
      <c r="G51" s="203"/>
      <c r="H51" s="160">
        <f t="shared" si="1"/>
        <v>0</v>
      </c>
      <c r="I51" s="25"/>
    </row>
    <row r="52" spans="1:9" ht="15.9" customHeight="1">
      <c r="A52" s="530"/>
      <c r="B52" s="193"/>
      <c r="C52" s="200"/>
      <c r="D52" s="200"/>
      <c r="E52" s="200"/>
      <c r="F52" s="203"/>
      <c r="G52" s="203"/>
      <c r="H52" s="160">
        <f t="shared" si="1"/>
        <v>0</v>
      </c>
      <c r="I52" s="25"/>
    </row>
    <row r="53" spans="1:9" ht="15.9" customHeight="1">
      <c r="A53" s="530"/>
      <c r="B53" s="193"/>
      <c r="C53" s="204" t="s">
        <v>126</v>
      </c>
      <c r="D53" s="204"/>
      <c r="E53" s="204"/>
      <c r="F53" s="207"/>
      <c r="G53" s="207"/>
      <c r="H53" s="161">
        <f t="shared" si="1"/>
        <v>0</v>
      </c>
      <c r="I53" s="208"/>
    </row>
    <row r="54" spans="1:9" ht="15.9" customHeight="1">
      <c r="A54" s="530"/>
      <c r="B54" s="209"/>
      <c r="C54" s="210"/>
      <c r="D54" s="211"/>
      <c r="E54" s="211"/>
      <c r="F54" s="213"/>
      <c r="G54" s="213"/>
      <c r="H54" s="214">
        <f>SUM(H47:H53)</f>
        <v>0</v>
      </c>
      <c r="I54" s="215"/>
    </row>
    <row r="55" spans="1:9" ht="15.9" customHeight="1">
      <c r="A55" s="237"/>
      <c r="B55" s="238" t="s">
        <v>129</v>
      </c>
      <c r="C55" s="239"/>
      <c r="D55" s="215"/>
      <c r="E55" s="215"/>
      <c r="F55" s="241"/>
      <c r="G55" s="241"/>
      <c r="H55" s="214">
        <f>SUM(H54,H46,H21,H15)</f>
        <v>291750000</v>
      </c>
      <c r="I55" s="215"/>
    </row>
    <row r="56" spans="1:9" ht="15.9" customHeight="1">
      <c r="A56" s="531" t="s">
        <v>130</v>
      </c>
      <c r="B56" s="242" t="s">
        <v>55</v>
      </c>
      <c r="C56" s="239"/>
      <c r="D56" s="215"/>
      <c r="E56" s="242" t="s">
        <v>56</v>
      </c>
      <c r="F56" s="259"/>
      <c r="G56" s="245"/>
      <c r="H56" s="246">
        <f>F56*G56</f>
        <v>0</v>
      </c>
      <c r="I56" s="215"/>
    </row>
    <row r="57" spans="1:9" ht="15.9" customHeight="1">
      <c r="A57" s="530"/>
      <c r="B57" s="247" t="s">
        <v>148</v>
      </c>
      <c r="C57" s="248"/>
      <c r="D57" s="222"/>
      <c r="E57" s="247" t="s">
        <v>132</v>
      </c>
      <c r="F57" s="219">
        <v>40</v>
      </c>
      <c r="G57" s="220">
        <v>300000</v>
      </c>
      <c r="H57" s="221">
        <f t="shared" ref="H57:H63" si="3">F57*G57</f>
        <v>12000000</v>
      </c>
      <c r="I57" s="222"/>
    </row>
    <row r="58" spans="1:9" ht="15.9" customHeight="1">
      <c r="A58" s="530"/>
      <c r="B58" s="281" t="s">
        <v>149</v>
      </c>
      <c r="C58" s="251"/>
      <c r="D58" s="25"/>
      <c r="E58" s="250" t="s">
        <v>132</v>
      </c>
      <c r="F58" s="268">
        <v>40</v>
      </c>
      <c r="G58" s="203">
        <v>300000</v>
      </c>
      <c r="H58" s="160">
        <f t="shared" si="3"/>
        <v>12000000</v>
      </c>
      <c r="I58" s="25"/>
    </row>
    <row r="59" spans="1:9" ht="15.9" customHeight="1">
      <c r="A59" s="530"/>
      <c r="B59" s="250" t="s">
        <v>150</v>
      </c>
      <c r="C59" s="251"/>
      <c r="D59" s="25"/>
      <c r="E59" s="250" t="s">
        <v>132</v>
      </c>
      <c r="F59" s="268">
        <v>60</v>
      </c>
      <c r="G59" s="203">
        <v>300000</v>
      </c>
      <c r="H59" s="160">
        <f t="shared" si="3"/>
        <v>18000000</v>
      </c>
      <c r="I59" s="25"/>
    </row>
    <row r="60" spans="1:9" ht="15.9" customHeight="1">
      <c r="A60" s="530"/>
      <c r="B60" s="250" t="s">
        <v>151</v>
      </c>
      <c r="C60" s="251"/>
      <c r="D60" s="25"/>
      <c r="E60" s="250" t="s">
        <v>132</v>
      </c>
      <c r="F60" s="203"/>
      <c r="G60" s="203"/>
      <c r="H60" s="160">
        <f t="shared" si="3"/>
        <v>0</v>
      </c>
      <c r="I60" s="25"/>
    </row>
    <row r="61" spans="1:9" ht="15.9" customHeight="1">
      <c r="A61" s="530"/>
      <c r="B61" s="250" t="s">
        <v>152</v>
      </c>
      <c r="C61" s="251"/>
      <c r="D61" s="25"/>
      <c r="E61" s="250" t="s">
        <v>132</v>
      </c>
      <c r="F61" s="203"/>
      <c r="G61" s="203"/>
      <c r="H61" s="160">
        <f t="shared" si="3"/>
        <v>0</v>
      </c>
      <c r="I61" s="25"/>
    </row>
    <row r="62" spans="1:9" ht="15.9" customHeight="1">
      <c r="A62" s="530"/>
      <c r="B62" s="250" t="s">
        <v>153</v>
      </c>
      <c r="C62" s="251"/>
      <c r="D62" s="25"/>
      <c r="E62" s="250" t="s">
        <v>132</v>
      </c>
      <c r="F62" s="203"/>
      <c r="G62" s="203"/>
      <c r="H62" s="160">
        <f t="shared" si="3"/>
        <v>0</v>
      </c>
      <c r="I62" s="25"/>
    </row>
    <row r="63" spans="1:9" ht="15.9" customHeight="1">
      <c r="A63" s="530"/>
      <c r="B63" s="253" t="s">
        <v>157</v>
      </c>
      <c r="C63" s="254"/>
      <c r="D63" s="208"/>
      <c r="E63" s="253" t="s">
        <v>132</v>
      </c>
      <c r="F63" s="207"/>
      <c r="G63" s="207"/>
      <c r="H63" s="161">
        <f t="shared" si="3"/>
        <v>0</v>
      </c>
      <c r="I63" s="208"/>
    </row>
    <row r="64" spans="1:9" ht="15.9" customHeight="1">
      <c r="A64" s="237"/>
      <c r="B64" s="256" t="s">
        <v>138</v>
      </c>
      <c r="C64" s="239"/>
      <c r="D64" s="215"/>
      <c r="E64" s="215"/>
      <c r="F64" s="213"/>
      <c r="G64" s="213"/>
      <c r="H64" s="213">
        <f>SUM(H56:H63)</f>
        <v>42000000</v>
      </c>
      <c r="I64" s="211"/>
    </row>
    <row r="65" spans="1:9" ht="15.9" customHeight="1">
      <c r="A65" s="243"/>
      <c r="B65" s="256" t="s">
        <v>155</v>
      </c>
      <c r="C65" s="239"/>
      <c r="D65" s="215"/>
      <c r="E65" s="215"/>
      <c r="F65" s="214"/>
      <c r="G65" s="214"/>
      <c r="H65" s="241">
        <f>'단위공사별(집계)'!L16+'단위공사별(집계)'!I16</f>
        <v>7740775.8170818919</v>
      </c>
      <c r="I65" s="215"/>
    </row>
    <row r="66" spans="1:9" ht="15.9" customHeight="1">
      <c r="A66" s="243"/>
      <c r="B66" s="256" t="s">
        <v>80</v>
      </c>
      <c r="C66" s="239"/>
      <c r="D66" s="215"/>
      <c r="E66" s="215"/>
      <c r="F66" s="214"/>
      <c r="G66" s="258"/>
      <c r="H66" s="259"/>
      <c r="I66" s="239"/>
    </row>
    <row r="67" spans="1:9" ht="15.9" customHeight="1">
      <c r="A67" s="243"/>
      <c r="B67" s="256" t="s">
        <v>141</v>
      </c>
      <c r="C67" s="239"/>
      <c r="D67" s="215"/>
      <c r="E67" s="215"/>
      <c r="F67" s="214"/>
      <c r="G67" s="258"/>
      <c r="H67" s="259"/>
      <c r="I67" s="239"/>
    </row>
    <row r="68" spans="1:9" ht="15.9" customHeight="1">
      <c r="A68" s="243"/>
      <c r="B68" s="256" t="s">
        <v>142</v>
      </c>
      <c r="C68" s="239"/>
      <c r="D68" s="215"/>
      <c r="E68" s="215"/>
      <c r="F68" s="214"/>
      <c r="G68" s="214"/>
      <c r="H68" s="213">
        <f>H55+H64+H65+H66+H67</f>
        <v>341490775.81708187</v>
      </c>
      <c r="I68" s="215"/>
    </row>
    <row r="69" spans="1:9">
      <c r="A69" s="121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50"/>
    <pageSetUpPr fitToPage="1"/>
  </sheetPr>
  <dimension ref="A1:J66"/>
  <sheetViews>
    <sheetView zoomScale="115" zoomScaleNormal="115" workbookViewId="0">
      <pane xSplit="2" ySplit="2" topLeftCell="C38" activePane="bottomRight" state="frozen"/>
      <selection activeCell="K5" sqref="K5"/>
      <selection pane="topRight" activeCell="K5" sqref="K5"/>
      <selection pane="bottomLeft" activeCell="K5" sqref="K5"/>
      <selection pane="bottomRight" activeCell="H62" sqref="H62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10" ht="22.5" customHeight="1">
      <c r="B1" s="187" t="s">
        <v>143</v>
      </c>
      <c r="C1" s="261" t="s">
        <v>399</v>
      </c>
      <c r="F1" s="262"/>
      <c r="I1" s="115" t="s">
        <v>114</v>
      </c>
    </row>
    <row r="2" spans="1:10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10" ht="15.9" customHeight="1">
      <c r="A3" s="526" t="s">
        <v>121</v>
      </c>
      <c r="B3" s="193" t="s">
        <v>122</v>
      </c>
      <c r="C3" s="200" t="s">
        <v>174</v>
      </c>
      <c r="D3" s="264"/>
      <c r="E3" s="201" t="s">
        <v>167</v>
      </c>
      <c r="F3" s="202">
        <v>1</v>
      </c>
      <c r="G3" s="269">
        <v>2500000</v>
      </c>
      <c r="H3" s="160">
        <f>IF(F3=0,G3,G3*F3)</f>
        <v>2500000</v>
      </c>
      <c r="I3" s="272" t="s">
        <v>251</v>
      </c>
    </row>
    <row r="4" spans="1:10" ht="15.9" customHeight="1">
      <c r="A4" s="527"/>
      <c r="B4" s="193"/>
      <c r="C4" s="267" t="s">
        <v>257</v>
      </c>
      <c r="D4" s="267"/>
      <c r="E4" s="201" t="s">
        <v>167</v>
      </c>
      <c r="F4" s="202">
        <v>1</v>
      </c>
      <c r="G4" s="269">
        <v>5000000</v>
      </c>
      <c r="H4" s="160">
        <f t="shared" ref="H4" si="0">IF(F4=0,G4,G4*F4)</f>
        <v>5000000</v>
      </c>
      <c r="I4" s="272" t="s">
        <v>252</v>
      </c>
    </row>
    <row r="5" spans="1:10" ht="15.9" customHeight="1">
      <c r="A5" s="530"/>
      <c r="B5" s="193"/>
      <c r="C5" s="267" t="s">
        <v>193</v>
      </c>
      <c r="D5" s="267"/>
      <c r="E5" s="201" t="s">
        <v>169</v>
      </c>
      <c r="F5" s="202">
        <v>3</v>
      </c>
      <c r="G5" s="269">
        <v>2000000</v>
      </c>
      <c r="H5" s="160">
        <f>IF(F5=0,G5,G5*F5)</f>
        <v>6000000</v>
      </c>
      <c r="I5" s="272" t="s">
        <v>252</v>
      </c>
    </row>
    <row r="6" spans="1:10" ht="15.9" customHeight="1">
      <c r="A6" s="530"/>
      <c r="B6" s="193"/>
      <c r="C6" s="267" t="s">
        <v>255</v>
      </c>
      <c r="D6" s="267"/>
      <c r="E6" s="201" t="s">
        <v>167</v>
      </c>
      <c r="F6" s="268">
        <v>500</v>
      </c>
      <c r="G6" s="269">
        <v>50000</v>
      </c>
      <c r="H6" s="160">
        <f t="shared" ref="H6" si="1">IF(F6=0,G6,G6*F6)</f>
        <v>25000000</v>
      </c>
      <c r="I6" s="272" t="s">
        <v>252</v>
      </c>
      <c r="J6" s="115" t="s">
        <v>256</v>
      </c>
    </row>
    <row r="7" spans="1:10" ht="15.9" customHeight="1">
      <c r="A7" s="530"/>
      <c r="B7" s="193"/>
      <c r="C7" s="267" t="s">
        <v>194</v>
      </c>
      <c r="D7" s="267"/>
      <c r="E7" s="201" t="s">
        <v>169</v>
      </c>
      <c r="F7" s="268">
        <v>1</v>
      </c>
      <c r="G7" s="269">
        <v>5000000</v>
      </c>
      <c r="H7" s="160">
        <f t="shared" ref="H7:H50" si="2">IF(F7=0,G7,G7*F7)</f>
        <v>5000000</v>
      </c>
      <c r="I7" s="272" t="s">
        <v>236</v>
      </c>
    </row>
    <row r="8" spans="1:10" ht="15.9" customHeight="1">
      <c r="A8" s="530"/>
      <c r="B8" s="193"/>
      <c r="C8" s="267" t="s">
        <v>246</v>
      </c>
      <c r="D8" s="267"/>
      <c r="E8" s="201" t="s">
        <v>167</v>
      </c>
      <c r="F8" s="268">
        <v>1</v>
      </c>
      <c r="G8" s="269">
        <v>1000000</v>
      </c>
      <c r="H8" s="160">
        <f t="shared" ref="H8:H9" si="3">IF(F8=0,G8,G8*F8)</f>
        <v>1000000</v>
      </c>
      <c r="I8" s="272" t="s">
        <v>222</v>
      </c>
    </row>
    <row r="9" spans="1:10" ht="15.9" customHeight="1">
      <c r="A9" s="530"/>
      <c r="B9" s="193"/>
      <c r="C9" s="267" t="s">
        <v>221</v>
      </c>
      <c r="D9" s="267"/>
      <c r="E9" s="201" t="s">
        <v>167</v>
      </c>
      <c r="F9" s="268">
        <v>1</v>
      </c>
      <c r="G9" s="269">
        <v>1000000</v>
      </c>
      <c r="H9" s="160">
        <f t="shared" si="3"/>
        <v>1000000</v>
      </c>
      <c r="I9" s="272" t="s">
        <v>222</v>
      </c>
    </row>
    <row r="10" spans="1:10" ht="15.9" customHeight="1">
      <c r="A10" s="530"/>
      <c r="B10" s="193"/>
      <c r="C10" s="200"/>
      <c r="D10" s="200"/>
      <c r="E10" s="200"/>
      <c r="F10" s="203"/>
      <c r="G10" s="203"/>
      <c r="H10" s="160">
        <f t="shared" si="2"/>
        <v>0</v>
      </c>
      <c r="I10" s="25"/>
    </row>
    <row r="11" spans="1:10" ht="15.9" customHeight="1">
      <c r="A11" s="530"/>
      <c r="B11" s="193"/>
      <c r="C11" s="200"/>
      <c r="D11" s="200"/>
      <c r="E11" s="200"/>
      <c r="F11" s="203"/>
      <c r="G11" s="203"/>
      <c r="H11" s="160">
        <f t="shared" si="2"/>
        <v>0</v>
      </c>
      <c r="I11" s="25"/>
    </row>
    <row r="12" spans="1:10" ht="15.9" customHeight="1">
      <c r="A12" s="530"/>
      <c r="B12" s="193"/>
      <c r="C12" s="200"/>
      <c r="D12" s="200"/>
      <c r="E12" s="200"/>
      <c r="F12" s="203"/>
      <c r="G12" s="203"/>
      <c r="H12" s="160">
        <f t="shared" si="2"/>
        <v>0</v>
      </c>
      <c r="I12" s="25"/>
    </row>
    <row r="13" spans="1:10" ht="15.9" customHeight="1">
      <c r="A13" s="530"/>
      <c r="B13" s="193"/>
      <c r="C13" s="200"/>
      <c r="D13" s="200"/>
      <c r="E13" s="200"/>
      <c r="F13" s="203"/>
      <c r="G13" s="203"/>
      <c r="H13" s="160">
        <f t="shared" si="2"/>
        <v>0</v>
      </c>
      <c r="I13" s="25"/>
    </row>
    <row r="14" spans="1:10" ht="15.9" customHeight="1">
      <c r="A14" s="530"/>
      <c r="B14" s="193"/>
      <c r="C14" s="200"/>
      <c r="D14" s="200"/>
      <c r="E14" s="200"/>
      <c r="F14" s="203"/>
      <c r="G14" s="203"/>
      <c r="H14" s="160">
        <f t="shared" si="2"/>
        <v>0</v>
      </c>
      <c r="I14" s="25"/>
    </row>
    <row r="15" spans="1:10" ht="15.9" customHeight="1">
      <c r="A15" s="530"/>
      <c r="B15" s="193"/>
      <c r="C15" s="204" t="s">
        <v>126</v>
      </c>
      <c r="D15" s="224"/>
      <c r="E15" s="224"/>
      <c r="F15" s="226"/>
      <c r="G15" s="226"/>
      <c r="H15" s="227">
        <f t="shared" si="2"/>
        <v>0</v>
      </c>
      <c r="I15" s="228"/>
    </row>
    <row r="16" spans="1:10" ht="15.9" customHeight="1">
      <c r="A16" s="530"/>
      <c r="B16" s="209"/>
      <c r="C16" s="235"/>
      <c r="D16" s="235"/>
      <c r="E16" s="235"/>
      <c r="F16" s="233"/>
      <c r="G16" s="233"/>
      <c r="H16" s="234">
        <f>SUM(H3:H15)</f>
        <v>45500000</v>
      </c>
      <c r="I16" s="235"/>
    </row>
    <row r="17" spans="1:9" ht="15.9" customHeight="1">
      <c r="A17" s="530"/>
      <c r="B17" s="193" t="s">
        <v>144</v>
      </c>
      <c r="C17" s="194"/>
      <c r="D17" s="194"/>
      <c r="E17" s="194"/>
      <c r="F17" s="197"/>
      <c r="G17" s="197"/>
      <c r="H17" s="198">
        <f t="shared" si="2"/>
        <v>0</v>
      </c>
      <c r="I17" s="199"/>
    </row>
    <row r="18" spans="1:9" ht="15.9" customHeight="1">
      <c r="A18" s="530"/>
      <c r="B18" s="193" t="s">
        <v>145</v>
      </c>
      <c r="C18" s="200"/>
      <c r="D18" s="200"/>
      <c r="E18" s="200"/>
      <c r="F18" s="203"/>
      <c r="G18" s="203"/>
      <c r="H18" s="160">
        <f t="shared" si="2"/>
        <v>0</v>
      </c>
      <c r="I18" s="25"/>
    </row>
    <row r="19" spans="1:9" ht="15.9" customHeight="1">
      <c r="A19" s="530"/>
      <c r="B19" s="193"/>
      <c r="C19" s="200"/>
      <c r="D19" s="200"/>
      <c r="E19" s="200"/>
      <c r="F19" s="203"/>
      <c r="G19" s="203"/>
      <c r="H19" s="160">
        <f t="shared" si="2"/>
        <v>0</v>
      </c>
      <c r="I19" s="25"/>
    </row>
    <row r="20" spans="1:9" ht="15.9" customHeight="1">
      <c r="A20" s="530"/>
      <c r="B20" s="193"/>
      <c r="C20" s="200"/>
      <c r="D20" s="200"/>
      <c r="E20" s="200"/>
      <c r="F20" s="203"/>
      <c r="G20" s="203"/>
      <c r="H20" s="160">
        <f t="shared" si="2"/>
        <v>0</v>
      </c>
      <c r="I20" s="25"/>
    </row>
    <row r="21" spans="1:9" ht="15.9" customHeight="1">
      <c r="A21" s="530"/>
      <c r="B21" s="193"/>
      <c r="C21" s="204" t="s">
        <v>126</v>
      </c>
      <c r="D21" s="204"/>
      <c r="E21" s="204"/>
      <c r="F21" s="207"/>
      <c r="G21" s="207"/>
      <c r="H21" s="160">
        <f t="shared" si="2"/>
        <v>0</v>
      </c>
      <c r="I21" s="208"/>
    </row>
    <row r="22" spans="1:9" ht="15.9" customHeight="1">
      <c r="A22" s="530"/>
      <c r="B22" s="209"/>
      <c r="C22" s="210"/>
      <c r="D22" s="211"/>
      <c r="E22" s="211"/>
      <c r="F22" s="270"/>
      <c r="G22" s="213"/>
      <c r="H22" s="214">
        <f>SUM(H17:H21)</f>
        <v>0</v>
      </c>
      <c r="I22" s="215"/>
    </row>
    <row r="23" spans="1:9" ht="15.9" customHeight="1">
      <c r="A23" s="530"/>
      <c r="B23" s="236" t="s">
        <v>146</v>
      </c>
      <c r="C23" s="365" t="s">
        <v>346</v>
      </c>
      <c r="D23" s="365" t="s">
        <v>347</v>
      </c>
      <c r="E23" s="264" t="s">
        <v>348</v>
      </c>
      <c r="F23" s="271">
        <v>1</v>
      </c>
      <c r="G23" s="378">
        <v>100000</v>
      </c>
      <c r="H23" s="379">
        <f t="shared" ref="H23:H29" si="4">G23*F23</f>
        <v>100000</v>
      </c>
      <c r="I23" s="272" t="s">
        <v>205</v>
      </c>
    </row>
    <row r="24" spans="1:9" ht="15.9" customHeight="1">
      <c r="A24" s="530"/>
      <c r="B24" s="193" t="s">
        <v>147</v>
      </c>
      <c r="C24" s="365" t="s">
        <v>349</v>
      </c>
      <c r="D24" s="365" t="s">
        <v>350</v>
      </c>
      <c r="E24" s="264" t="s">
        <v>348</v>
      </c>
      <c r="F24" s="271">
        <v>1</v>
      </c>
      <c r="G24" s="378">
        <v>200000</v>
      </c>
      <c r="H24" s="379">
        <f t="shared" si="4"/>
        <v>200000</v>
      </c>
      <c r="I24" s="272" t="s">
        <v>205</v>
      </c>
    </row>
    <row r="25" spans="1:9" ht="15.9" customHeight="1">
      <c r="A25" s="530"/>
      <c r="B25" s="193"/>
      <c r="C25" s="365" t="s">
        <v>351</v>
      </c>
      <c r="D25" s="365" t="s">
        <v>352</v>
      </c>
      <c r="E25" s="264" t="s">
        <v>348</v>
      </c>
      <c r="F25" s="271">
        <v>6</v>
      </c>
      <c r="G25" s="378">
        <v>60000</v>
      </c>
      <c r="H25" s="379">
        <f t="shared" si="4"/>
        <v>360000</v>
      </c>
      <c r="I25" s="272" t="s">
        <v>205</v>
      </c>
    </row>
    <row r="26" spans="1:9" ht="15.9" customHeight="1">
      <c r="A26" s="530"/>
      <c r="B26" s="193"/>
      <c r="C26" s="365" t="s">
        <v>353</v>
      </c>
      <c r="D26" s="365" t="s">
        <v>354</v>
      </c>
      <c r="E26" s="264" t="s">
        <v>348</v>
      </c>
      <c r="F26" s="271">
        <v>4</v>
      </c>
      <c r="G26" s="378">
        <v>100000</v>
      </c>
      <c r="H26" s="379">
        <f t="shared" si="4"/>
        <v>400000</v>
      </c>
      <c r="I26" s="272" t="s">
        <v>205</v>
      </c>
    </row>
    <row r="27" spans="1:9" ht="15.9" customHeight="1">
      <c r="A27" s="530"/>
      <c r="B27" s="193"/>
      <c r="C27" s="365" t="s">
        <v>355</v>
      </c>
      <c r="D27" s="365" t="s">
        <v>356</v>
      </c>
      <c r="E27" s="264" t="s">
        <v>348</v>
      </c>
      <c r="F27" s="271">
        <v>8</v>
      </c>
      <c r="G27" s="378">
        <v>10000</v>
      </c>
      <c r="H27" s="379">
        <f t="shared" si="4"/>
        <v>80000</v>
      </c>
      <c r="I27" s="272" t="s">
        <v>205</v>
      </c>
    </row>
    <row r="28" spans="1:9" ht="15.9" customHeight="1">
      <c r="A28" s="530"/>
      <c r="B28" s="193"/>
      <c r="C28" s="365" t="s">
        <v>357</v>
      </c>
      <c r="D28" s="365" t="s">
        <v>358</v>
      </c>
      <c r="E28" s="264" t="s">
        <v>348</v>
      </c>
      <c r="F28" s="271">
        <v>1</v>
      </c>
      <c r="G28" s="378">
        <v>10000</v>
      </c>
      <c r="H28" s="379">
        <f t="shared" si="4"/>
        <v>10000</v>
      </c>
      <c r="I28" s="272" t="s">
        <v>205</v>
      </c>
    </row>
    <row r="29" spans="1:9" ht="15.9" customHeight="1">
      <c r="A29" s="530"/>
      <c r="B29" s="193"/>
      <c r="C29" s="365" t="s">
        <v>359</v>
      </c>
      <c r="D29" s="365" t="s">
        <v>360</v>
      </c>
      <c r="E29" s="264" t="s">
        <v>348</v>
      </c>
      <c r="F29" s="202">
        <v>1</v>
      </c>
      <c r="G29" s="378">
        <v>100000</v>
      </c>
      <c r="H29" s="379">
        <f t="shared" si="4"/>
        <v>100000</v>
      </c>
      <c r="I29" s="272" t="s">
        <v>205</v>
      </c>
    </row>
    <row r="30" spans="1:9" ht="15.9" customHeight="1">
      <c r="A30" s="530"/>
      <c r="B30" s="193"/>
      <c r="C30" s="267" t="s">
        <v>165</v>
      </c>
      <c r="D30" s="264" t="s">
        <v>235</v>
      </c>
      <c r="E30" s="264" t="s">
        <v>167</v>
      </c>
      <c r="F30" s="271">
        <v>1</v>
      </c>
      <c r="G30" s="269">
        <v>1000000</v>
      </c>
      <c r="H30" s="160">
        <f t="shared" ref="H30:H31" si="5">IF(F30=0,G30,G30*F30)</f>
        <v>1000000</v>
      </c>
      <c r="I30" s="272" t="s">
        <v>207</v>
      </c>
    </row>
    <row r="31" spans="1:9" ht="15.9" customHeight="1">
      <c r="A31" s="530"/>
      <c r="B31" s="193"/>
      <c r="C31" s="267" t="s">
        <v>166</v>
      </c>
      <c r="D31" s="264" t="s">
        <v>247</v>
      </c>
      <c r="E31" s="264" t="s">
        <v>167</v>
      </c>
      <c r="F31" s="271">
        <v>1</v>
      </c>
      <c r="G31" s="269">
        <v>2500000</v>
      </c>
      <c r="H31" s="160">
        <f t="shared" si="5"/>
        <v>2500000</v>
      </c>
      <c r="I31" s="272" t="s">
        <v>208</v>
      </c>
    </row>
    <row r="32" spans="1:9" ht="15.9" customHeight="1">
      <c r="A32" s="530"/>
      <c r="B32" s="193"/>
      <c r="C32" s="200" t="s">
        <v>209</v>
      </c>
      <c r="D32" s="264" t="s">
        <v>210</v>
      </c>
      <c r="E32" s="264" t="s">
        <v>167</v>
      </c>
      <c r="F32" s="268">
        <v>2</v>
      </c>
      <c r="G32" s="203">
        <v>500000</v>
      </c>
      <c r="H32" s="160">
        <f t="shared" ref="H32:H33" si="6">IF(F32=0,G32,G32*F32)</f>
        <v>1000000</v>
      </c>
      <c r="I32" s="272" t="s">
        <v>215</v>
      </c>
    </row>
    <row r="33" spans="1:10" ht="15.9" customHeight="1">
      <c r="A33" s="530"/>
      <c r="B33" s="193"/>
      <c r="C33" s="200" t="s">
        <v>168</v>
      </c>
      <c r="D33" s="264" t="s">
        <v>211</v>
      </c>
      <c r="E33" s="264" t="s">
        <v>167</v>
      </c>
      <c r="F33" s="271">
        <v>1</v>
      </c>
      <c r="G33" s="203">
        <v>2500000</v>
      </c>
      <c r="H33" s="160">
        <f t="shared" si="6"/>
        <v>2500000</v>
      </c>
      <c r="I33" s="272" t="s">
        <v>216</v>
      </c>
    </row>
    <row r="34" spans="1:10" ht="15.9" customHeight="1">
      <c r="A34" s="530"/>
      <c r="B34" s="193"/>
      <c r="C34" s="200" t="s">
        <v>195</v>
      </c>
      <c r="D34" s="264" t="s">
        <v>258</v>
      </c>
      <c r="E34" s="264" t="s">
        <v>167</v>
      </c>
      <c r="F34" s="271">
        <v>1</v>
      </c>
      <c r="G34" s="203">
        <v>2000000</v>
      </c>
      <c r="H34" s="160">
        <f t="shared" si="2"/>
        <v>2000000</v>
      </c>
      <c r="I34" s="272" t="s">
        <v>259</v>
      </c>
      <c r="J34" s="330"/>
    </row>
    <row r="35" spans="1:10" ht="15.9" customHeight="1">
      <c r="A35" s="530"/>
      <c r="B35" s="193"/>
      <c r="C35" s="200" t="s">
        <v>253</v>
      </c>
      <c r="D35" s="267"/>
      <c r="E35" s="264" t="s">
        <v>167</v>
      </c>
      <c r="F35" s="268">
        <v>3</v>
      </c>
      <c r="G35" s="203">
        <v>100000</v>
      </c>
      <c r="H35" s="160">
        <f t="shared" si="2"/>
        <v>300000</v>
      </c>
      <c r="I35" s="25" t="s">
        <v>385</v>
      </c>
    </row>
    <row r="36" spans="1:10" ht="15.9" customHeight="1">
      <c r="A36" s="530"/>
      <c r="B36" s="193"/>
      <c r="C36" s="200" t="s">
        <v>260</v>
      </c>
      <c r="D36" s="201" t="s">
        <v>289</v>
      </c>
      <c r="E36" s="264" t="s">
        <v>167</v>
      </c>
      <c r="F36" s="268">
        <v>1</v>
      </c>
      <c r="G36" s="203">
        <v>9200000</v>
      </c>
      <c r="H36" s="160">
        <f t="shared" si="2"/>
        <v>9200000</v>
      </c>
      <c r="I36" s="272" t="s">
        <v>280</v>
      </c>
    </row>
    <row r="37" spans="1:10" ht="15.9" customHeight="1">
      <c r="A37" s="530"/>
      <c r="B37" s="193"/>
      <c r="C37" s="200" t="s">
        <v>189</v>
      </c>
      <c r="D37" s="201" t="s">
        <v>244</v>
      </c>
      <c r="E37" s="264" t="s">
        <v>167</v>
      </c>
      <c r="F37" s="268">
        <v>1</v>
      </c>
      <c r="G37" s="203">
        <v>1500000</v>
      </c>
      <c r="H37" s="160">
        <f t="shared" si="2"/>
        <v>1500000</v>
      </c>
      <c r="I37" s="272" t="s">
        <v>245</v>
      </c>
    </row>
    <row r="38" spans="1:10" ht="15.9" customHeight="1">
      <c r="A38" s="530"/>
      <c r="B38" s="193"/>
      <c r="C38" s="200" t="s">
        <v>240</v>
      </c>
      <c r="D38" s="264" t="s">
        <v>243</v>
      </c>
      <c r="E38" s="264" t="s">
        <v>167</v>
      </c>
      <c r="F38" s="268">
        <v>1</v>
      </c>
      <c r="G38" s="203">
        <v>2500000</v>
      </c>
      <c r="H38" s="160">
        <f t="shared" si="2"/>
        <v>2500000</v>
      </c>
      <c r="I38" s="272" t="s">
        <v>241</v>
      </c>
    </row>
    <row r="39" spans="1:10" ht="15.9" customHeight="1">
      <c r="A39" s="530"/>
      <c r="B39" s="193"/>
      <c r="C39" s="200"/>
      <c r="D39" s="264"/>
      <c r="E39" s="264"/>
      <c r="F39" s="268"/>
      <c r="G39" s="203"/>
      <c r="H39" s="227"/>
      <c r="I39" s="329"/>
    </row>
    <row r="40" spans="1:10" ht="15.9" customHeight="1">
      <c r="A40" s="530"/>
      <c r="B40" s="193"/>
      <c r="C40" s="200"/>
      <c r="D40" s="264"/>
      <c r="E40" s="264"/>
      <c r="F40" s="268"/>
      <c r="G40" s="203"/>
      <c r="H40" s="227"/>
      <c r="I40" s="329"/>
    </row>
    <row r="41" spans="1:10" ht="15.9" customHeight="1">
      <c r="A41" s="530"/>
      <c r="B41" s="193"/>
      <c r="C41" s="200"/>
      <c r="D41" s="264"/>
      <c r="E41" s="264"/>
      <c r="F41" s="268"/>
      <c r="G41" s="203"/>
      <c r="H41" s="227"/>
      <c r="I41" s="329"/>
    </row>
    <row r="42" spans="1:10" ht="15.9" customHeight="1">
      <c r="A42" s="530"/>
      <c r="B42" s="193"/>
      <c r="C42" s="204"/>
      <c r="D42" s="293"/>
      <c r="E42" s="298"/>
      <c r="F42" s="382"/>
      <c r="G42" s="207"/>
      <c r="H42" s="161">
        <f t="shared" si="2"/>
        <v>0</v>
      </c>
      <c r="I42" s="208"/>
    </row>
    <row r="43" spans="1:10" ht="15.9" customHeight="1">
      <c r="A43" s="530"/>
      <c r="B43" s="209"/>
      <c r="C43" s="210"/>
      <c r="D43" s="211"/>
      <c r="E43" s="211"/>
      <c r="F43" s="213"/>
      <c r="G43" s="213"/>
      <c r="H43" s="213">
        <f>SUM(H23:H42)</f>
        <v>23750000</v>
      </c>
      <c r="I43" s="215"/>
    </row>
    <row r="44" spans="1:10" ht="15.9" customHeight="1">
      <c r="A44" s="530"/>
      <c r="B44" s="236" t="s">
        <v>49</v>
      </c>
      <c r="C44" s="217"/>
      <c r="D44" s="217"/>
      <c r="E44" s="217"/>
      <c r="F44" s="220"/>
      <c r="G44" s="220"/>
      <c r="H44" s="221">
        <f t="shared" si="2"/>
        <v>0</v>
      </c>
      <c r="I44" s="222"/>
    </row>
    <row r="45" spans="1:10" ht="15.9" customHeight="1">
      <c r="A45" s="530"/>
      <c r="B45" s="193"/>
      <c r="C45" s="200"/>
      <c r="D45" s="200"/>
      <c r="E45" s="200"/>
      <c r="F45" s="203"/>
      <c r="G45" s="203"/>
      <c r="H45" s="160">
        <f t="shared" si="2"/>
        <v>0</v>
      </c>
      <c r="I45" s="25"/>
    </row>
    <row r="46" spans="1:10" ht="15.9" customHeight="1">
      <c r="A46" s="530"/>
      <c r="B46" s="193"/>
      <c r="C46" s="200"/>
      <c r="D46" s="200"/>
      <c r="E46" s="200"/>
      <c r="F46" s="203"/>
      <c r="G46" s="203"/>
      <c r="H46" s="160">
        <f t="shared" si="2"/>
        <v>0</v>
      </c>
      <c r="I46" s="25"/>
    </row>
    <row r="47" spans="1:10" ht="15.9" customHeight="1">
      <c r="A47" s="530"/>
      <c r="B47" s="193"/>
      <c r="C47" s="200"/>
      <c r="D47" s="200"/>
      <c r="E47" s="200"/>
      <c r="F47" s="203"/>
      <c r="G47" s="203"/>
      <c r="H47" s="160">
        <f t="shared" si="2"/>
        <v>0</v>
      </c>
      <c r="I47" s="25"/>
    </row>
    <row r="48" spans="1:10" ht="15.9" customHeight="1">
      <c r="A48" s="530"/>
      <c r="B48" s="193"/>
      <c r="C48" s="200"/>
      <c r="D48" s="200"/>
      <c r="E48" s="200"/>
      <c r="F48" s="203"/>
      <c r="G48" s="203"/>
      <c r="H48" s="160">
        <f t="shared" si="2"/>
        <v>0</v>
      </c>
      <c r="I48" s="25"/>
    </row>
    <row r="49" spans="1:9" ht="15.9" customHeight="1">
      <c r="A49" s="530"/>
      <c r="B49" s="193"/>
      <c r="C49" s="200"/>
      <c r="D49" s="200"/>
      <c r="E49" s="200"/>
      <c r="F49" s="203"/>
      <c r="G49" s="203"/>
      <c r="H49" s="160">
        <f t="shared" si="2"/>
        <v>0</v>
      </c>
      <c r="I49" s="25"/>
    </row>
    <row r="50" spans="1:9" ht="15.9" customHeight="1">
      <c r="A50" s="530"/>
      <c r="B50" s="193"/>
      <c r="C50" s="204" t="s">
        <v>126</v>
      </c>
      <c r="D50" s="204"/>
      <c r="E50" s="204"/>
      <c r="F50" s="207"/>
      <c r="G50" s="207"/>
      <c r="H50" s="161">
        <f t="shared" si="2"/>
        <v>0</v>
      </c>
      <c r="I50" s="208"/>
    </row>
    <row r="51" spans="1:9" ht="15.9" customHeight="1">
      <c r="A51" s="530"/>
      <c r="B51" s="209"/>
      <c r="C51" s="210"/>
      <c r="D51" s="211"/>
      <c r="E51" s="211"/>
      <c r="F51" s="213"/>
      <c r="G51" s="213"/>
      <c r="H51" s="214">
        <f>SUM(H44:H50)</f>
        <v>0</v>
      </c>
      <c r="I51" s="215"/>
    </row>
    <row r="52" spans="1:9" ht="15.9" customHeight="1">
      <c r="A52" s="237"/>
      <c r="B52" s="238" t="s">
        <v>129</v>
      </c>
      <c r="C52" s="239"/>
      <c r="D52" s="215"/>
      <c r="E52" s="215"/>
      <c r="F52" s="241"/>
      <c r="G52" s="241"/>
      <c r="H52" s="214">
        <f>SUM(H51,H43,H22,H16)</f>
        <v>69250000</v>
      </c>
      <c r="I52" s="215"/>
    </row>
    <row r="53" spans="1:9" ht="15.9" customHeight="1">
      <c r="A53" s="531" t="s">
        <v>130</v>
      </c>
      <c r="B53" s="242" t="s">
        <v>55</v>
      </c>
      <c r="C53" s="239"/>
      <c r="D53" s="215"/>
      <c r="E53" s="242" t="s">
        <v>56</v>
      </c>
      <c r="F53" s="259"/>
      <c r="G53" s="245"/>
      <c r="H53" s="246">
        <f>F53*G53</f>
        <v>0</v>
      </c>
      <c r="I53" s="215"/>
    </row>
    <row r="54" spans="1:9" ht="15.9" customHeight="1">
      <c r="A54" s="530"/>
      <c r="B54" s="247" t="s">
        <v>148</v>
      </c>
      <c r="C54" s="248"/>
      <c r="D54" s="222"/>
      <c r="E54" s="247" t="s">
        <v>132</v>
      </c>
      <c r="F54" s="219">
        <v>30</v>
      </c>
      <c r="G54" s="220">
        <v>300000</v>
      </c>
      <c r="H54" s="221">
        <f t="shared" ref="H54:H60" si="7">F54*G54</f>
        <v>9000000</v>
      </c>
      <c r="I54" s="222"/>
    </row>
    <row r="55" spans="1:9" ht="15.9" customHeight="1">
      <c r="A55" s="530"/>
      <c r="B55" s="281" t="s">
        <v>149</v>
      </c>
      <c r="C55" s="251"/>
      <c r="D55" s="25"/>
      <c r="E55" s="250" t="s">
        <v>132</v>
      </c>
      <c r="F55" s="268">
        <v>30</v>
      </c>
      <c r="G55" s="203">
        <v>300000</v>
      </c>
      <c r="H55" s="160">
        <f t="shared" si="7"/>
        <v>9000000</v>
      </c>
      <c r="I55" s="25"/>
    </row>
    <row r="56" spans="1:9" ht="15.9" customHeight="1">
      <c r="A56" s="530"/>
      <c r="B56" s="250" t="s">
        <v>150</v>
      </c>
      <c r="C56" s="251"/>
      <c r="D56" s="25"/>
      <c r="E56" s="250" t="s">
        <v>132</v>
      </c>
      <c r="F56" s="268">
        <v>40</v>
      </c>
      <c r="G56" s="203">
        <v>300000</v>
      </c>
      <c r="H56" s="160">
        <f t="shared" si="7"/>
        <v>12000000</v>
      </c>
      <c r="I56" s="25"/>
    </row>
    <row r="57" spans="1:9" ht="15.9" customHeight="1">
      <c r="A57" s="530"/>
      <c r="B57" s="250" t="s">
        <v>151</v>
      </c>
      <c r="C57" s="251"/>
      <c r="D57" s="25"/>
      <c r="E57" s="250" t="s">
        <v>132</v>
      </c>
      <c r="F57" s="203"/>
      <c r="G57" s="203"/>
      <c r="H57" s="160">
        <f t="shared" si="7"/>
        <v>0</v>
      </c>
      <c r="I57" s="25"/>
    </row>
    <row r="58" spans="1:9" ht="15.9" customHeight="1">
      <c r="A58" s="530"/>
      <c r="B58" s="250" t="s">
        <v>152</v>
      </c>
      <c r="C58" s="251"/>
      <c r="D58" s="25"/>
      <c r="E58" s="250" t="s">
        <v>132</v>
      </c>
      <c r="F58" s="203"/>
      <c r="G58" s="203"/>
      <c r="H58" s="160">
        <f t="shared" si="7"/>
        <v>0</v>
      </c>
      <c r="I58" s="25"/>
    </row>
    <row r="59" spans="1:9" ht="15.9" customHeight="1">
      <c r="A59" s="530"/>
      <c r="B59" s="250" t="s">
        <v>153</v>
      </c>
      <c r="C59" s="251"/>
      <c r="D59" s="25"/>
      <c r="E59" s="250" t="s">
        <v>132</v>
      </c>
      <c r="F59" s="203"/>
      <c r="G59" s="203"/>
      <c r="H59" s="160">
        <f t="shared" si="7"/>
        <v>0</v>
      </c>
      <c r="I59" s="25"/>
    </row>
    <row r="60" spans="1:9" ht="15.9" customHeight="1">
      <c r="A60" s="530"/>
      <c r="B60" s="253" t="s">
        <v>157</v>
      </c>
      <c r="C60" s="254"/>
      <c r="D60" s="208"/>
      <c r="E60" s="253" t="s">
        <v>132</v>
      </c>
      <c r="F60" s="207"/>
      <c r="G60" s="207"/>
      <c r="H60" s="161">
        <f t="shared" si="7"/>
        <v>0</v>
      </c>
      <c r="I60" s="208"/>
    </row>
    <row r="61" spans="1:9" ht="15.9" customHeight="1">
      <c r="A61" s="237"/>
      <c r="B61" s="256" t="s">
        <v>138</v>
      </c>
      <c r="C61" s="239"/>
      <c r="D61" s="215"/>
      <c r="E61" s="215"/>
      <c r="F61" s="213"/>
      <c r="G61" s="213"/>
      <c r="H61" s="213">
        <f>SUM(H53:H60)</f>
        <v>30000000</v>
      </c>
      <c r="I61" s="211"/>
    </row>
    <row r="62" spans="1:9" ht="15.9" customHeight="1">
      <c r="A62" s="243"/>
      <c r="B62" s="256" t="s">
        <v>155</v>
      </c>
      <c r="C62" s="239"/>
      <c r="D62" s="215"/>
      <c r="E62" s="215"/>
      <c r="F62" s="214"/>
      <c r="G62" s="214"/>
      <c r="H62" s="241">
        <f>'단위공사별(집계)'!L15+'단위공사별(집계)'!I15</f>
        <v>2301938.5763157387</v>
      </c>
      <c r="I62" s="215"/>
    </row>
    <row r="63" spans="1:9" ht="15.9" customHeight="1">
      <c r="A63" s="243"/>
      <c r="B63" s="256" t="s">
        <v>80</v>
      </c>
      <c r="C63" s="239"/>
      <c r="D63" s="215"/>
      <c r="E63" s="215"/>
      <c r="F63" s="214"/>
      <c r="G63" s="258"/>
      <c r="H63" s="259"/>
      <c r="I63" s="239"/>
    </row>
    <row r="64" spans="1:9" ht="15.9" customHeight="1">
      <c r="A64" s="243"/>
      <c r="B64" s="256" t="s">
        <v>141</v>
      </c>
      <c r="C64" s="239"/>
      <c r="D64" s="215"/>
      <c r="E64" s="215"/>
      <c r="F64" s="214"/>
      <c r="G64" s="258"/>
      <c r="H64" s="259"/>
      <c r="I64" s="239"/>
    </row>
    <row r="65" spans="1:9" ht="15.9" customHeight="1">
      <c r="A65" s="243"/>
      <c r="B65" s="256" t="s">
        <v>142</v>
      </c>
      <c r="C65" s="239"/>
      <c r="D65" s="215"/>
      <c r="E65" s="215"/>
      <c r="F65" s="214"/>
      <c r="G65" s="214"/>
      <c r="H65" s="213">
        <f>H52+H61+H62+H63+H64</f>
        <v>101551938.57631575</v>
      </c>
      <c r="I65" s="215"/>
    </row>
    <row r="66" spans="1:9">
      <c r="A66" s="121"/>
    </row>
  </sheetData>
  <mergeCells count="3">
    <mergeCell ref="A2:B2"/>
    <mergeCell ref="A3:A51"/>
    <mergeCell ref="A53:A60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>
    <tabColor rgb="FF00B050"/>
    <pageSetUpPr fitToPage="1"/>
  </sheetPr>
  <dimension ref="A1:I68"/>
  <sheetViews>
    <sheetView zoomScale="115" zoomScaleNormal="115" workbookViewId="0">
      <pane xSplit="2" ySplit="2" topLeftCell="C41" activePane="bottomRight" state="frozen"/>
      <selection activeCell="K5" sqref="K5"/>
      <selection pane="topRight" activeCell="K5" sqref="K5"/>
      <selection pane="bottomLeft" activeCell="K5" sqref="K5"/>
      <selection pane="bottomRight" activeCell="H64" sqref="H64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 t="s">
        <v>361</v>
      </c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 t="s">
        <v>174</v>
      </c>
      <c r="D3" s="264"/>
      <c r="E3" s="201" t="s">
        <v>169</v>
      </c>
      <c r="F3" s="202">
        <v>2</v>
      </c>
      <c r="G3" s="203">
        <v>2500000</v>
      </c>
      <c r="H3" s="221">
        <f>IF(F3=0,G3,G3*F3)</f>
        <v>5000000</v>
      </c>
      <c r="I3" s="329" t="s">
        <v>251</v>
      </c>
    </row>
    <row r="4" spans="1:9" ht="15.9" customHeight="1">
      <c r="A4" s="530"/>
      <c r="B4" s="193"/>
      <c r="C4" s="267" t="s">
        <v>220</v>
      </c>
      <c r="D4" s="267"/>
      <c r="E4" s="201" t="s">
        <v>167</v>
      </c>
      <c r="F4" s="202">
        <v>3</v>
      </c>
      <c r="G4" s="269">
        <v>6000000</v>
      </c>
      <c r="H4" s="160">
        <f>F4*G4</f>
        <v>18000000</v>
      </c>
      <c r="I4" s="272" t="s">
        <v>222</v>
      </c>
    </row>
    <row r="5" spans="1:9" ht="15.9" customHeight="1">
      <c r="A5" s="530"/>
      <c r="B5" s="193"/>
      <c r="C5" s="267" t="s">
        <v>198</v>
      </c>
      <c r="D5" s="267"/>
      <c r="E5" s="201" t="s">
        <v>169</v>
      </c>
      <c r="F5" s="202">
        <v>3</v>
      </c>
      <c r="G5" s="269">
        <v>4000000</v>
      </c>
      <c r="H5" s="160">
        <f t="shared" ref="H5:H52" si="0">IF(F5=0,G5,G5*F5)</f>
        <v>12000000</v>
      </c>
      <c r="I5" s="272" t="s">
        <v>252</v>
      </c>
    </row>
    <row r="6" spans="1:9" ht="15.9" customHeight="1">
      <c r="A6" s="530"/>
      <c r="B6" s="193"/>
      <c r="C6" s="267" t="s">
        <v>267</v>
      </c>
      <c r="D6" s="267"/>
      <c r="E6" s="201" t="s">
        <v>167</v>
      </c>
      <c r="F6" s="202">
        <v>1</v>
      </c>
      <c r="G6" s="203">
        <v>1500000</v>
      </c>
      <c r="H6" s="160">
        <f>IF(F6=0,G6,G6*F6)</f>
        <v>1500000</v>
      </c>
      <c r="I6" s="272" t="s">
        <v>252</v>
      </c>
    </row>
    <row r="7" spans="1:9" ht="15.9" customHeight="1">
      <c r="A7" s="530"/>
      <c r="B7" s="193"/>
      <c r="C7" s="200" t="s">
        <v>199</v>
      </c>
      <c r="D7" s="200"/>
      <c r="E7" s="201" t="s">
        <v>167</v>
      </c>
      <c r="F7" s="268">
        <v>1</v>
      </c>
      <c r="G7" s="203">
        <v>3000000</v>
      </c>
      <c r="H7" s="160">
        <f t="shared" ref="H7" si="1">F7*G7</f>
        <v>3000000</v>
      </c>
      <c r="I7" s="272" t="s">
        <v>252</v>
      </c>
    </row>
    <row r="8" spans="1:9" ht="15.9" customHeight="1">
      <c r="A8" s="530"/>
      <c r="B8" s="193"/>
      <c r="C8" s="200" t="s">
        <v>362</v>
      </c>
      <c r="D8" s="200"/>
      <c r="E8" s="201" t="s">
        <v>169</v>
      </c>
      <c r="F8" s="202">
        <v>1</v>
      </c>
      <c r="G8" s="203">
        <v>5000000</v>
      </c>
      <c r="H8" s="160">
        <f t="shared" si="0"/>
        <v>5000000</v>
      </c>
      <c r="I8" s="272" t="s">
        <v>252</v>
      </c>
    </row>
    <row r="9" spans="1:9" ht="15.9" customHeight="1">
      <c r="A9" s="530"/>
      <c r="B9" s="193"/>
      <c r="C9" s="267" t="s">
        <v>265</v>
      </c>
      <c r="D9" s="267"/>
      <c r="E9" s="201" t="s">
        <v>167</v>
      </c>
      <c r="F9" s="268">
        <v>1</v>
      </c>
      <c r="G9" s="269">
        <v>4000000</v>
      </c>
      <c r="H9" s="160">
        <f t="shared" si="0"/>
        <v>4000000</v>
      </c>
      <c r="I9" s="272" t="s">
        <v>222</v>
      </c>
    </row>
    <row r="10" spans="1:9" ht="15.9" customHeight="1">
      <c r="A10" s="530"/>
      <c r="B10" s="193"/>
      <c r="C10" s="267" t="s">
        <v>221</v>
      </c>
      <c r="D10" s="267"/>
      <c r="E10" s="201" t="s">
        <v>167</v>
      </c>
      <c r="F10" s="268">
        <v>1</v>
      </c>
      <c r="G10" s="269">
        <v>2000000</v>
      </c>
      <c r="H10" s="160">
        <f t="shared" ref="H10" si="2">IF(F10=0,G10,G10*F10)</f>
        <v>2000000</v>
      </c>
      <c r="I10" s="272" t="s">
        <v>222</v>
      </c>
    </row>
    <row r="11" spans="1:9" ht="15.9" customHeight="1">
      <c r="A11" s="530"/>
      <c r="B11" s="193"/>
      <c r="C11" s="200"/>
      <c r="D11" s="200"/>
      <c r="E11" s="201"/>
      <c r="F11" s="268"/>
      <c r="G11" s="203"/>
      <c r="H11" s="160">
        <f t="shared" si="0"/>
        <v>0</v>
      </c>
      <c r="I11" s="25"/>
    </row>
    <row r="12" spans="1:9" ht="15.9" customHeight="1">
      <c r="A12" s="530"/>
      <c r="B12" s="193"/>
      <c r="C12" s="200"/>
      <c r="D12" s="200"/>
      <c r="E12" s="200"/>
      <c r="F12" s="202"/>
      <c r="G12" s="203"/>
      <c r="H12" s="160">
        <f t="shared" si="0"/>
        <v>0</v>
      </c>
      <c r="I12" s="25"/>
    </row>
    <row r="13" spans="1:9" ht="15.9" customHeight="1">
      <c r="A13" s="530"/>
      <c r="B13" s="193"/>
      <c r="C13" s="200"/>
      <c r="D13" s="200"/>
      <c r="E13" s="200"/>
      <c r="F13" s="202"/>
      <c r="G13" s="203"/>
      <c r="H13" s="160">
        <f t="shared" si="0"/>
        <v>0</v>
      </c>
      <c r="I13" s="25"/>
    </row>
    <row r="14" spans="1:9" ht="15.9" customHeight="1">
      <c r="A14" s="530"/>
      <c r="B14" s="193"/>
      <c r="C14" s="200"/>
      <c r="D14" s="200"/>
      <c r="E14" s="200"/>
      <c r="F14" s="203"/>
      <c r="G14" s="203"/>
      <c r="H14" s="160">
        <f t="shared" si="0"/>
        <v>0</v>
      </c>
      <c r="I14" s="25"/>
    </row>
    <row r="15" spans="1:9" ht="15.9" customHeight="1">
      <c r="A15" s="530"/>
      <c r="B15" s="193"/>
      <c r="C15" s="204"/>
      <c r="D15" s="205"/>
      <c r="E15" s="205"/>
      <c r="F15" s="206"/>
      <c r="G15" s="207"/>
      <c r="H15" s="227">
        <f t="shared" si="0"/>
        <v>0</v>
      </c>
      <c r="I15" s="228"/>
    </row>
    <row r="16" spans="1:9" ht="15.9" customHeight="1">
      <c r="A16" s="530"/>
      <c r="B16" s="209"/>
      <c r="C16" s="235"/>
      <c r="D16" s="235"/>
      <c r="E16" s="235"/>
      <c r="F16" s="233"/>
      <c r="G16" s="233"/>
      <c r="H16" s="234">
        <f>SUM(H3:H15)</f>
        <v>50500000</v>
      </c>
      <c r="I16" s="235"/>
    </row>
    <row r="17" spans="1:9" ht="15.9" customHeight="1">
      <c r="A17" s="530"/>
      <c r="B17" s="193" t="s">
        <v>144</v>
      </c>
      <c r="C17" s="194"/>
      <c r="D17" s="194"/>
      <c r="E17" s="195"/>
      <c r="F17" s="196"/>
      <c r="G17" s="197"/>
      <c r="H17" s="198">
        <f t="shared" si="0"/>
        <v>0</v>
      </c>
      <c r="I17" s="199"/>
    </row>
    <row r="18" spans="1:9" ht="15.9" customHeight="1">
      <c r="A18" s="530"/>
      <c r="B18" s="193" t="s">
        <v>145</v>
      </c>
      <c r="C18" s="200"/>
      <c r="D18" s="200"/>
      <c r="E18" s="200"/>
      <c r="F18" s="203"/>
      <c r="G18" s="203"/>
      <c r="H18" s="160">
        <f t="shared" si="0"/>
        <v>0</v>
      </c>
      <c r="I18" s="25"/>
    </row>
    <row r="19" spans="1:9" ht="15.9" customHeight="1">
      <c r="A19" s="530"/>
      <c r="B19" s="193"/>
      <c r="C19" s="200"/>
      <c r="D19" s="200"/>
      <c r="E19" s="200"/>
      <c r="F19" s="203"/>
      <c r="G19" s="203"/>
      <c r="H19" s="160">
        <f t="shared" si="0"/>
        <v>0</v>
      </c>
      <c r="I19" s="25"/>
    </row>
    <row r="20" spans="1:9" ht="15.9" customHeight="1">
      <c r="A20" s="530"/>
      <c r="B20" s="193"/>
      <c r="C20" s="200"/>
      <c r="D20" s="200"/>
      <c r="E20" s="200"/>
      <c r="F20" s="203"/>
      <c r="G20" s="203"/>
      <c r="H20" s="160">
        <f t="shared" si="0"/>
        <v>0</v>
      </c>
      <c r="I20" s="25"/>
    </row>
    <row r="21" spans="1:9" ht="15.9" customHeight="1">
      <c r="A21" s="530"/>
      <c r="B21" s="193"/>
      <c r="C21" s="204"/>
      <c r="D21" s="204"/>
      <c r="E21" s="204"/>
      <c r="F21" s="207"/>
      <c r="G21" s="207"/>
      <c r="H21" s="160">
        <f t="shared" si="0"/>
        <v>0</v>
      </c>
      <c r="I21" s="208"/>
    </row>
    <row r="22" spans="1:9" ht="15.9" customHeight="1">
      <c r="A22" s="530"/>
      <c r="B22" s="209"/>
      <c r="C22" s="210"/>
      <c r="D22" s="211"/>
      <c r="E22" s="211"/>
      <c r="F22" s="270"/>
      <c r="G22" s="213"/>
      <c r="H22" s="214">
        <f>SUM(H17:H21)</f>
        <v>0</v>
      </c>
      <c r="I22" s="215"/>
    </row>
    <row r="23" spans="1:9" ht="15.9" customHeight="1">
      <c r="A23" s="530"/>
      <c r="B23" s="236" t="s">
        <v>146</v>
      </c>
      <c r="C23" s="323" t="s">
        <v>363</v>
      </c>
      <c r="D23" s="267" t="s">
        <v>364</v>
      </c>
      <c r="E23" s="264" t="s">
        <v>167</v>
      </c>
      <c r="F23" s="264">
        <v>1</v>
      </c>
      <c r="G23" s="269">
        <v>500000</v>
      </c>
      <c r="H23" s="381">
        <f t="shared" ref="H23:H32" si="3">IF(F23=0,G23,G23*F23)</f>
        <v>500000</v>
      </c>
      <c r="I23" s="398" t="s">
        <v>205</v>
      </c>
    </row>
    <row r="24" spans="1:9" ht="15.9" customHeight="1">
      <c r="A24" s="530"/>
      <c r="B24" s="193" t="s">
        <v>147</v>
      </c>
      <c r="C24" s="267" t="s">
        <v>349</v>
      </c>
      <c r="D24" s="267" t="s">
        <v>365</v>
      </c>
      <c r="E24" s="264" t="s">
        <v>167</v>
      </c>
      <c r="F24" s="264">
        <v>1</v>
      </c>
      <c r="G24" s="269">
        <v>300000</v>
      </c>
      <c r="H24" s="381">
        <f t="shared" si="3"/>
        <v>300000</v>
      </c>
      <c r="I24" s="398" t="s">
        <v>205</v>
      </c>
    </row>
    <row r="25" spans="1:9" ht="15.9" customHeight="1">
      <c r="A25" s="530"/>
      <c r="B25" s="193"/>
      <c r="C25" s="267" t="s">
        <v>353</v>
      </c>
      <c r="D25" s="267" t="s">
        <v>366</v>
      </c>
      <c r="E25" s="264" t="s">
        <v>167</v>
      </c>
      <c r="F25" s="264">
        <v>5</v>
      </c>
      <c r="G25" s="269">
        <v>60000</v>
      </c>
      <c r="H25" s="381">
        <f t="shared" si="3"/>
        <v>300000</v>
      </c>
      <c r="I25" s="398" t="s">
        <v>205</v>
      </c>
    </row>
    <row r="26" spans="1:9" ht="15.9" customHeight="1">
      <c r="A26" s="530"/>
      <c r="B26" s="193"/>
      <c r="C26" s="323" t="s">
        <v>367</v>
      </c>
      <c r="D26" s="267" t="s">
        <v>368</v>
      </c>
      <c r="E26" s="264" t="s">
        <v>167</v>
      </c>
      <c r="F26" s="264">
        <v>1</v>
      </c>
      <c r="G26" s="269">
        <v>30000</v>
      </c>
      <c r="H26" s="381">
        <f t="shared" si="3"/>
        <v>30000</v>
      </c>
      <c r="I26" s="398" t="s">
        <v>205</v>
      </c>
    </row>
    <row r="27" spans="1:9" ht="15.9" customHeight="1">
      <c r="A27" s="530"/>
      <c r="B27" s="193"/>
      <c r="C27" s="267" t="s">
        <v>369</v>
      </c>
      <c r="D27" s="267" t="s">
        <v>370</v>
      </c>
      <c r="E27" s="264" t="s">
        <v>167</v>
      </c>
      <c r="F27" s="264">
        <v>1</v>
      </c>
      <c r="G27" s="269">
        <v>100000</v>
      </c>
      <c r="H27" s="381">
        <f t="shared" si="3"/>
        <v>100000</v>
      </c>
      <c r="I27" s="398" t="s">
        <v>205</v>
      </c>
    </row>
    <row r="28" spans="1:9" ht="15.9" customHeight="1">
      <c r="A28" s="530"/>
      <c r="B28" s="193"/>
      <c r="C28" s="323" t="s">
        <v>371</v>
      </c>
      <c r="D28" s="267" t="s">
        <v>372</v>
      </c>
      <c r="E28" s="264" t="s">
        <v>167</v>
      </c>
      <c r="F28" s="264">
        <v>1</v>
      </c>
      <c r="G28" s="269">
        <v>150000</v>
      </c>
      <c r="H28" s="381">
        <f t="shared" si="3"/>
        <v>150000</v>
      </c>
      <c r="I28" s="398" t="s">
        <v>205</v>
      </c>
    </row>
    <row r="29" spans="1:9" ht="15.9" customHeight="1">
      <c r="A29" s="530"/>
      <c r="B29" s="193"/>
      <c r="C29" s="267" t="s">
        <v>373</v>
      </c>
      <c r="D29" s="267" t="s">
        <v>374</v>
      </c>
      <c r="E29" s="264" t="s">
        <v>167</v>
      </c>
      <c r="F29" s="264">
        <v>1</v>
      </c>
      <c r="G29" s="269">
        <v>90000</v>
      </c>
      <c r="H29" s="381">
        <f t="shared" si="3"/>
        <v>90000</v>
      </c>
      <c r="I29" s="398" t="s">
        <v>205</v>
      </c>
    </row>
    <row r="30" spans="1:9" ht="15.9" customHeight="1">
      <c r="A30" s="530"/>
      <c r="B30" s="193"/>
      <c r="C30" s="267" t="s">
        <v>375</v>
      </c>
      <c r="D30" s="267" t="s">
        <v>376</v>
      </c>
      <c r="E30" s="264" t="s">
        <v>167</v>
      </c>
      <c r="F30" s="264">
        <v>1</v>
      </c>
      <c r="G30" s="269">
        <v>80000</v>
      </c>
      <c r="H30" s="381">
        <f t="shared" si="3"/>
        <v>80000</v>
      </c>
      <c r="I30" s="398" t="s">
        <v>205</v>
      </c>
    </row>
    <row r="31" spans="1:9" ht="15.9" customHeight="1">
      <c r="A31" s="530"/>
      <c r="B31" s="193"/>
      <c r="C31" s="323" t="s">
        <v>377</v>
      </c>
      <c r="D31" s="267" t="s">
        <v>378</v>
      </c>
      <c r="E31" s="264" t="s">
        <v>167</v>
      </c>
      <c r="F31" s="264">
        <v>2</v>
      </c>
      <c r="G31" s="269">
        <v>500000</v>
      </c>
      <c r="H31" s="381">
        <f t="shared" si="3"/>
        <v>1000000</v>
      </c>
      <c r="I31" s="398" t="s">
        <v>205</v>
      </c>
    </row>
    <row r="32" spans="1:9" ht="15.9" customHeight="1">
      <c r="A32" s="530"/>
      <c r="B32" s="193"/>
      <c r="C32" s="323" t="s">
        <v>377</v>
      </c>
      <c r="D32" s="267" t="s">
        <v>379</v>
      </c>
      <c r="E32" s="264" t="s">
        <v>167</v>
      </c>
      <c r="F32" s="264">
        <v>2</v>
      </c>
      <c r="G32" s="269">
        <v>100000</v>
      </c>
      <c r="H32" s="381">
        <f t="shared" si="3"/>
        <v>200000</v>
      </c>
      <c r="I32" s="398" t="s">
        <v>205</v>
      </c>
    </row>
    <row r="33" spans="1:9" ht="15.9" customHeight="1">
      <c r="A33" s="530"/>
      <c r="B33" s="193"/>
      <c r="C33" s="267" t="s">
        <v>165</v>
      </c>
      <c r="D33" s="264" t="s">
        <v>235</v>
      </c>
      <c r="E33" s="264" t="s">
        <v>167</v>
      </c>
      <c r="F33" s="271">
        <v>1</v>
      </c>
      <c r="G33" s="269">
        <v>1000000</v>
      </c>
      <c r="H33" s="160">
        <f t="shared" ref="H33:H34" si="4">IF(F33=0,G33,G33*F33)</f>
        <v>1000000</v>
      </c>
      <c r="I33" s="272" t="s">
        <v>207</v>
      </c>
    </row>
    <row r="34" spans="1:9" ht="15.9" customHeight="1">
      <c r="A34" s="530"/>
      <c r="B34" s="193"/>
      <c r="C34" s="267" t="s">
        <v>166</v>
      </c>
      <c r="D34" s="264" t="s">
        <v>247</v>
      </c>
      <c r="E34" s="264" t="s">
        <v>167</v>
      </c>
      <c r="F34" s="271">
        <v>1</v>
      </c>
      <c r="G34" s="269">
        <v>2500000</v>
      </c>
      <c r="H34" s="160">
        <f t="shared" si="4"/>
        <v>2500000</v>
      </c>
      <c r="I34" s="272" t="s">
        <v>208</v>
      </c>
    </row>
    <row r="35" spans="1:9" ht="15.9" customHeight="1">
      <c r="A35" s="530"/>
      <c r="B35" s="193"/>
      <c r="C35" s="200" t="s">
        <v>209</v>
      </c>
      <c r="D35" s="264" t="s">
        <v>210</v>
      </c>
      <c r="E35" s="264" t="s">
        <v>167</v>
      </c>
      <c r="F35" s="268">
        <v>3</v>
      </c>
      <c r="G35" s="203">
        <v>500000</v>
      </c>
      <c r="H35" s="160">
        <f t="shared" si="0"/>
        <v>1500000</v>
      </c>
      <c r="I35" s="272" t="s">
        <v>215</v>
      </c>
    </row>
    <row r="36" spans="1:9" ht="15.9" customHeight="1">
      <c r="A36" s="530"/>
      <c r="B36" s="193"/>
      <c r="C36" s="200" t="s">
        <v>168</v>
      </c>
      <c r="D36" s="264" t="s">
        <v>211</v>
      </c>
      <c r="E36" s="264" t="s">
        <v>167</v>
      </c>
      <c r="F36" s="271">
        <v>2</v>
      </c>
      <c r="G36" s="203">
        <v>2500000</v>
      </c>
      <c r="H36" s="160">
        <f t="shared" si="0"/>
        <v>5000000</v>
      </c>
      <c r="I36" s="272" t="s">
        <v>216</v>
      </c>
    </row>
    <row r="37" spans="1:9" ht="15.9" customHeight="1">
      <c r="A37" s="530"/>
      <c r="B37" s="193"/>
      <c r="C37" s="200" t="s">
        <v>224</v>
      </c>
      <c r="D37" s="264" t="s">
        <v>279</v>
      </c>
      <c r="E37" s="264" t="s">
        <v>167</v>
      </c>
      <c r="F37" s="268">
        <v>3</v>
      </c>
      <c r="G37" s="203">
        <v>8000000</v>
      </c>
      <c r="H37" s="160">
        <f t="shared" si="0"/>
        <v>24000000</v>
      </c>
      <c r="I37" s="272" t="s">
        <v>217</v>
      </c>
    </row>
    <row r="38" spans="1:9" ht="15.9" customHeight="1">
      <c r="A38" s="530"/>
      <c r="B38" s="193"/>
      <c r="C38" s="200" t="s">
        <v>183</v>
      </c>
      <c r="D38" s="264"/>
      <c r="E38" s="264" t="s">
        <v>167</v>
      </c>
      <c r="F38" s="268">
        <v>1</v>
      </c>
      <c r="G38" s="203">
        <v>2000000</v>
      </c>
      <c r="H38" s="160">
        <f t="shared" si="0"/>
        <v>2000000</v>
      </c>
      <c r="I38" s="272"/>
    </row>
    <row r="39" spans="1:9" ht="15.9" customHeight="1">
      <c r="A39" s="530"/>
      <c r="B39" s="193"/>
      <c r="C39" s="200" t="s">
        <v>229</v>
      </c>
      <c r="D39" s="264" t="s">
        <v>274</v>
      </c>
      <c r="E39" s="264" t="s">
        <v>167</v>
      </c>
      <c r="F39" s="268">
        <v>1</v>
      </c>
      <c r="G39" s="203">
        <v>6700000</v>
      </c>
      <c r="H39" s="160">
        <f t="shared" ref="H39" si="5">IF(F39=0,G39,G39*F39)</f>
        <v>6700000</v>
      </c>
      <c r="I39" s="272" t="s">
        <v>228</v>
      </c>
    </row>
    <row r="40" spans="1:9" ht="15.9" customHeight="1">
      <c r="A40" s="530"/>
      <c r="B40" s="193"/>
      <c r="C40" s="350"/>
      <c r="D40" s="351"/>
      <c r="E40" s="351"/>
      <c r="F40" s="352"/>
      <c r="G40" s="353"/>
      <c r="H40" s="354"/>
      <c r="I40" s="355"/>
    </row>
    <row r="41" spans="1:9" ht="15.9" customHeight="1">
      <c r="A41" s="530"/>
      <c r="B41" s="193"/>
      <c r="C41" s="350"/>
      <c r="D41" s="351"/>
      <c r="E41" s="351"/>
      <c r="F41" s="352"/>
      <c r="G41" s="353"/>
      <c r="H41" s="354"/>
      <c r="I41" s="355"/>
    </row>
    <row r="42" spans="1:9" ht="15.9" customHeight="1">
      <c r="A42" s="530"/>
      <c r="B42" s="193"/>
      <c r="C42" s="350"/>
      <c r="D42" s="351"/>
      <c r="E42" s="351"/>
      <c r="F42" s="352"/>
      <c r="G42" s="353"/>
      <c r="H42" s="354"/>
      <c r="I42" s="355"/>
    </row>
    <row r="43" spans="1:9" ht="15.9" customHeight="1">
      <c r="A43" s="530"/>
      <c r="B43" s="193"/>
      <c r="C43" s="350"/>
      <c r="D43" s="351"/>
      <c r="E43" s="351"/>
      <c r="F43" s="352"/>
      <c r="G43" s="353"/>
      <c r="H43" s="354"/>
      <c r="I43" s="355"/>
    </row>
    <row r="44" spans="1:9" ht="15.9" customHeight="1">
      <c r="A44" s="530"/>
      <c r="B44" s="193"/>
      <c r="C44" s="224"/>
      <c r="D44" s="278"/>
      <c r="E44" s="305"/>
      <c r="F44" s="306"/>
      <c r="G44" s="226"/>
      <c r="H44" s="227">
        <f t="shared" si="0"/>
        <v>0</v>
      </c>
      <c r="I44" s="228"/>
    </row>
    <row r="45" spans="1:9" ht="15.9" customHeight="1">
      <c r="A45" s="530"/>
      <c r="B45" s="209"/>
      <c r="C45" s="239"/>
      <c r="D45" s="215"/>
      <c r="E45" s="215"/>
      <c r="F45" s="214"/>
      <c r="G45" s="214"/>
      <c r="H45" s="214">
        <f>SUM(H23:H44)</f>
        <v>45450000</v>
      </c>
      <c r="I45" s="215"/>
    </row>
    <row r="46" spans="1:9" ht="15.9" customHeight="1">
      <c r="A46" s="530"/>
      <c r="B46" s="236" t="s">
        <v>49</v>
      </c>
      <c r="C46" s="200" t="s">
        <v>181</v>
      </c>
      <c r="D46" s="264"/>
      <c r="E46" s="264" t="s">
        <v>167</v>
      </c>
      <c r="F46" s="268">
        <v>1</v>
      </c>
      <c r="G46" s="203">
        <v>140000000</v>
      </c>
      <c r="H46" s="221">
        <f t="shared" si="0"/>
        <v>140000000</v>
      </c>
      <c r="I46" s="222" t="s">
        <v>387</v>
      </c>
    </row>
    <row r="47" spans="1:9" ht="15.9" customHeight="1">
      <c r="A47" s="530"/>
      <c r="B47" s="193"/>
      <c r="C47" s="200" t="s">
        <v>182</v>
      </c>
      <c r="D47" s="264"/>
      <c r="E47" s="264" t="s">
        <v>167</v>
      </c>
      <c r="F47" s="268">
        <v>1</v>
      </c>
      <c r="G47" s="203">
        <v>140000000</v>
      </c>
      <c r="H47" s="160">
        <f t="shared" si="0"/>
        <v>140000000</v>
      </c>
      <c r="I47" s="25" t="s">
        <v>387</v>
      </c>
    </row>
    <row r="48" spans="1:9" ht="15.9" customHeight="1">
      <c r="A48" s="530"/>
      <c r="B48" s="193"/>
      <c r="C48" s="200"/>
      <c r="D48" s="264"/>
      <c r="E48" s="264"/>
      <c r="F48" s="268"/>
      <c r="G48" s="203"/>
      <c r="H48" s="160"/>
      <c r="I48" s="25"/>
    </row>
    <row r="49" spans="1:9" ht="15.9" customHeight="1">
      <c r="A49" s="530"/>
      <c r="B49" s="193"/>
      <c r="C49" s="200"/>
      <c r="D49" s="264"/>
      <c r="E49" s="264"/>
      <c r="F49" s="268"/>
      <c r="G49" s="203"/>
      <c r="H49" s="160"/>
      <c r="I49" s="25"/>
    </row>
    <row r="50" spans="1:9" ht="15.9" customHeight="1">
      <c r="A50" s="530"/>
      <c r="B50" s="193"/>
      <c r="C50" s="200"/>
      <c r="D50" s="200"/>
      <c r="E50" s="201"/>
      <c r="F50" s="202"/>
      <c r="G50" s="203"/>
      <c r="H50" s="160">
        <f t="shared" si="0"/>
        <v>0</v>
      </c>
      <c r="I50" s="25"/>
    </row>
    <row r="51" spans="1:9" ht="15.9" customHeight="1">
      <c r="A51" s="530"/>
      <c r="B51" s="193"/>
      <c r="C51" s="200"/>
      <c r="D51" s="200"/>
      <c r="E51" s="201"/>
      <c r="F51" s="202"/>
      <c r="G51" s="203"/>
      <c r="H51" s="160">
        <f t="shared" si="0"/>
        <v>0</v>
      </c>
      <c r="I51" s="25"/>
    </row>
    <row r="52" spans="1:9" ht="15.9" customHeight="1">
      <c r="A52" s="530"/>
      <c r="B52" s="193"/>
      <c r="C52" s="204"/>
      <c r="D52" s="298"/>
      <c r="E52" s="298"/>
      <c r="F52" s="382"/>
      <c r="G52" s="207"/>
      <c r="H52" s="160">
        <f t="shared" si="0"/>
        <v>0</v>
      </c>
      <c r="I52" s="25"/>
    </row>
    <row r="53" spans="1:9" ht="15.9" customHeight="1">
      <c r="A53" s="530"/>
      <c r="B53" s="209"/>
      <c r="C53" s="210"/>
      <c r="D53" s="211"/>
      <c r="E53" s="211"/>
      <c r="F53" s="213"/>
      <c r="G53" s="213"/>
      <c r="H53" s="214">
        <f>SUM(H46:H52)</f>
        <v>280000000</v>
      </c>
      <c r="I53" s="215"/>
    </row>
    <row r="54" spans="1:9" ht="15.9" customHeight="1">
      <c r="A54" s="237"/>
      <c r="B54" s="238" t="s">
        <v>129</v>
      </c>
      <c r="C54" s="239"/>
      <c r="D54" s="215"/>
      <c r="E54" s="215"/>
      <c r="F54" s="241"/>
      <c r="G54" s="241"/>
      <c r="H54" s="214">
        <f>SUM(H53,H45,H22,H16)</f>
        <v>375950000</v>
      </c>
      <c r="I54" s="215"/>
    </row>
    <row r="55" spans="1:9" ht="15.9" customHeight="1">
      <c r="A55" s="531" t="s">
        <v>130</v>
      </c>
      <c r="B55" s="242" t="s">
        <v>55</v>
      </c>
      <c r="C55" s="239"/>
      <c r="D55" s="215"/>
      <c r="E55" s="242" t="s">
        <v>56</v>
      </c>
      <c r="F55" s="259"/>
      <c r="G55" s="245"/>
      <c r="H55" s="246">
        <f>F55*G55</f>
        <v>0</v>
      </c>
      <c r="I55" s="215"/>
    </row>
    <row r="56" spans="1:9" ht="15.9" customHeight="1">
      <c r="A56" s="530"/>
      <c r="B56" s="247" t="s">
        <v>148</v>
      </c>
      <c r="C56" s="287"/>
      <c r="D56" s="288"/>
      <c r="E56" s="289" t="s">
        <v>132</v>
      </c>
      <c r="F56" s="219">
        <v>50</v>
      </c>
      <c r="G56" s="220">
        <v>300000</v>
      </c>
      <c r="H56" s="221">
        <f t="shared" ref="H56:H62" si="6">F56*G56</f>
        <v>15000000</v>
      </c>
      <c r="I56" s="222"/>
    </row>
    <row r="57" spans="1:9" ht="15.9" customHeight="1">
      <c r="A57" s="530"/>
      <c r="B57" s="281" t="s">
        <v>149</v>
      </c>
      <c r="C57" s="290"/>
      <c r="D57" s="267"/>
      <c r="E57" s="282" t="s">
        <v>132</v>
      </c>
      <c r="F57" s="268">
        <v>50</v>
      </c>
      <c r="G57" s="203">
        <v>300000</v>
      </c>
      <c r="H57" s="160">
        <f t="shared" si="6"/>
        <v>15000000</v>
      </c>
      <c r="I57" s="25"/>
    </row>
    <row r="58" spans="1:9" ht="15.9" customHeight="1">
      <c r="A58" s="530"/>
      <c r="B58" s="250" t="s">
        <v>150</v>
      </c>
      <c r="C58" s="290"/>
      <c r="D58" s="267"/>
      <c r="E58" s="282" t="s">
        <v>132</v>
      </c>
      <c r="F58" s="268">
        <v>60</v>
      </c>
      <c r="G58" s="203">
        <v>300000</v>
      </c>
      <c r="H58" s="160">
        <f t="shared" si="6"/>
        <v>18000000</v>
      </c>
      <c r="I58" s="25"/>
    </row>
    <row r="59" spans="1:9" ht="15.9" customHeight="1">
      <c r="A59" s="530"/>
      <c r="B59" s="250" t="s">
        <v>151</v>
      </c>
      <c r="C59" s="290"/>
      <c r="D59" s="267"/>
      <c r="E59" s="282" t="s">
        <v>132</v>
      </c>
      <c r="F59" s="275"/>
      <c r="G59" s="203"/>
      <c r="H59" s="160">
        <f t="shared" si="6"/>
        <v>0</v>
      </c>
      <c r="I59" s="25"/>
    </row>
    <row r="60" spans="1:9" ht="15.9" customHeight="1">
      <c r="A60" s="530"/>
      <c r="B60" s="250" t="s">
        <v>152</v>
      </c>
      <c r="C60" s="290"/>
      <c r="D60" s="267"/>
      <c r="E60" s="282" t="s">
        <v>132</v>
      </c>
      <c r="F60" s="275"/>
      <c r="G60" s="203"/>
      <c r="H60" s="160">
        <f t="shared" si="6"/>
        <v>0</v>
      </c>
      <c r="I60" s="25"/>
    </row>
    <row r="61" spans="1:9" ht="15.9" customHeight="1">
      <c r="A61" s="530"/>
      <c r="B61" s="250" t="s">
        <v>153</v>
      </c>
      <c r="C61" s="290"/>
      <c r="D61" s="267"/>
      <c r="E61" s="282" t="s">
        <v>132</v>
      </c>
      <c r="F61" s="291"/>
      <c r="G61" s="203"/>
      <c r="H61" s="160">
        <f t="shared" si="6"/>
        <v>0</v>
      </c>
      <c r="I61" s="25"/>
    </row>
    <row r="62" spans="1:9" ht="15.9" customHeight="1">
      <c r="A62" s="530"/>
      <c r="B62" s="253" t="s">
        <v>157</v>
      </c>
      <c r="C62" s="292"/>
      <c r="D62" s="293"/>
      <c r="E62" s="276" t="s">
        <v>132</v>
      </c>
      <c r="F62" s="294"/>
      <c r="G62" s="207"/>
      <c r="H62" s="161">
        <f t="shared" si="6"/>
        <v>0</v>
      </c>
      <c r="I62" s="208"/>
    </row>
    <row r="63" spans="1:9" ht="15.9" customHeight="1">
      <c r="A63" s="237"/>
      <c r="B63" s="256" t="s">
        <v>138</v>
      </c>
      <c r="C63" s="239"/>
      <c r="D63" s="215"/>
      <c r="E63" s="215"/>
      <c r="F63" s="213"/>
      <c r="G63" s="213"/>
      <c r="H63" s="213">
        <f>SUM(H55:H62)</f>
        <v>48000000</v>
      </c>
      <c r="I63" s="211"/>
    </row>
    <row r="64" spans="1:9" ht="15.9" customHeight="1">
      <c r="A64" s="243"/>
      <c r="B64" s="256" t="s">
        <v>155</v>
      </c>
      <c r="C64" s="239"/>
      <c r="D64" s="215"/>
      <c r="E64" s="215"/>
      <c r="F64" s="214"/>
      <c r="G64" s="214"/>
      <c r="H64" s="241">
        <f>'단위공사별(집계)'!L17+'단위공사별(집계)'!I17</f>
        <v>9832814.7045748848</v>
      </c>
      <c r="I64" s="215"/>
    </row>
    <row r="65" spans="1:9" ht="15.9" customHeight="1">
      <c r="A65" s="243"/>
      <c r="B65" s="256" t="s">
        <v>80</v>
      </c>
      <c r="C65" s="239"/>
      <c r="D65" s="215"/>
      <c r="E65" s="215"/>
      <c r="F65" s="214"/>
      <c r="G65" s="258"/>
      <c r="H65" s="259"/>
      <c r="I65" s="239"/>
    </row>
    <row r="66" spans="1:9" ht="15.9" customHeight="1">
      <c r="A66" s="243"/>
      <c r="B66" s="256" t="s">
        <v>141</v>
      </c>
      <c r="C66" s="239"/>
      <c r="D66" s="215"/>
      <c r="E66" s="215"/>
      <c r="F66" s="214"/>
      <c r="G66" s="258"/>
      <c r="H66" s="259"/>
      <c r="I66" s="239"/>
    </row>
    <row r="67" spans="1:9" ht="15.9" customHeight="1">
      <c r="A67" s="243"/>
      <c r="B67" s="256" t="s">
        <v>142</v>
      </c>
      <c r="C67" s="239"/>
      <c r="D67" s="215"/>
      <c r="E67" s="215"/>
      <c r="F67" s="214"/>
      <c r="G67" s="214"/>
      <c r="H67" s="213">
        <f>H54+H63+H64+H65+H66</f>
        <v>433782814.70457488</v>
      </c>
      <c r="I67" s="215"/>
    </row>
    <row r="68" spans="1:9">
      <c r="A68" s="121"/>
    </row>
  </sheetData>
  <mergeCells count="3">
    <mergeCell ref="A2:B2"/>
    <mergeCell ref="A3:A53"/>
    <mergeCell ref="A55:A6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1:I50"/>
  <sheetViews>
    <sheetView zoomScale="130" zoomScaleNormal="130" workbookViewId="0">
      <pane xSplit="2" ySplit="2" topLeftCell="C30" activePane="bottomRight" state="frozen"/>
      <selection activeCell="K5" sqref="K5"/>
      <selection pane="topRight" activeCell="K5" sqref="K5"/>
      <selection pane="bottomLeft" activeCell="K5" sqref="K5"/>
      <selection pane="bottomRight" activeCell="K39" sqref="K39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59765625" style="115" customWidth="1"/>
    <col min="6" max="6" width="5.59765625" style="150" customWidth="1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 t="s">
        <v>342</v>
      </c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/>
      <c r="D3" s="264"/>
      <c r="E3" s="201"/>
      <c r="F3" s="202"/>
      <c r="G3" s="203"/>
      <c r="H3" s="221">
        <f>IF(F3=0,G3,G3*F3)</f>
        <v>0</v>
      </c>
      <c r="I3" s="25"/>
    </row>
    <row r="4" spans="1:9" ht="15.9" customHeight="1">
      <c r="A4" s="530"/>
      <c r="B4" s="193"/>
      <c r="C4" s="267"/>
      <c r="D4" s="267"/>
      <c r="E4" s="201"/>
      <c r="F4" s="202"/>
      <c r="G4" s="203"/>
      <c r="H4" s="160">
        <f>IF(F4=0,G4,G4*F4)</f>
        <v>0</v>
      </c>
      <c r="I4" s="25"/>
    </row>
    <row r="5" spans="1:9" ht="15.9" customHeight="1">
      <c r="A5" s="530"/>
      <c r="B5" s="193"/>
      <c r="C5" s="200"/>
      <c r="D5" s="200"/>
      <c r="E5" s="201"/>
      <c r="F5" s="268"/>
      <c r="G5" s="203"/>
      <c r="H5" s="160">
        <f t="shared" ref="H5" si="0">F5*G5</f>
        <v>0</v>
      </c>
      <c r="I5" s="25"/>
    </row>
    <row r="6" spans="1:9" ht="15.9" customHeight="1">
      <c r="A6" s="530"/>
      <c r="B6" s="193"/>
      <c r="C6" s="200"/>
      <c r="D6" s="200"/>
      <c r="E6" s="200"/>
      <c r="F6" s="202"/>
      <c r="G6" s="203"/>
      <c r="H6" s="160">
        <f t="shared" ref="H6:H33" si="1">IF(F6=0,G6,G6*F6)</f>
        <v>0</v>
      </c>
      <c r="I6" s="25"/>
    </row>
    <row r="7" spans="1:9" ht="15.9" customHeight="1">
      <c r="A7" s="530"/>
      <c r="B7" s="193"/>
      <c r="C7" s="200"/>
      <c r="D7" s="200"/>
      <c r="E7" s="200"/>
      <c r="F7" s="202"/>
      <c r="G7" s="203"/>
      <c r="H7" s="160">
        <f t="shared" si="1"/>
        <v>0</v>
      </c>
      <c r="I7" s="25"/>
    </row>
    <row r="8" spans="1:9" ht="15.9" customHeight="1">
      <c r="A8" s="530"/>
      <c r="B8" s="193"/>
      <c r="C8" s="200"/>
      <c r="D8" s="200"/>
      <c r="E8" s="200"/>
      <c r="F8" s="203"/>
      <c r="G8" s="203"/>
      <c r="H8" s="160">
        <f t="shared" si="1"/>
        <v>0</v>
      </c>
      <c r="I8" s="25"/>
    </row>
    <row r="9" spans="1:9" ht="15.9" customHeight="1">
      <c r="A9" s="530"/>
      <c r="B9" s="193"/>
      <c r="C9" s="204"/>
      <c r="D9" s="205"/>
      <c r="E9" s="205"/>
      <c r="F9" s="206"/>
      <c r="G9" s="207"/>
      <c r="H9" s="227">
        <f t="shared" si="1"/>
        <v>0</v>
      </c>
      <c r="I9" s="228"/>
    </row>
    <row r="10" spans="1:9" ht="15.9" customHeight="1">
      <c r="A10" s="530"/>
      <c r="B10" s="209"/>
      <c r="C10" s="235"/>
      <c r="D10" s="235"/>
      <c r="E10" s="235"/>
      <c r="F10" s="233"/>
      <c r="G10" s="233"/>
      <c r="H10" s="234">
        <f>SUM(H3:H9)</f>
        <v>0</v>
      </c>
      <c r="I10" s="235"/>
    </row>
    <row r="11" spans="1:9" ht="15.9" customHeight="1">
      <c r="A11" s="530"/>
      <c r="B11" s="193" t="s">
        <v>144</v>
      </c>
      <c r="C11" s="194"/>
      <c r="D11" s="194"/>
      <c r="E11" s="195"/>
      <c r="F11" s="196"/>
      <c r="G11" s="197"/>
      <c r="H11" s="198">
        <f t="shared" si="1"/>
        <v>0</v>
      </c>
      <c r="I11" s="199"/>
    </row>
    <row r="12" spans="1:9" ht="15.9" customHeight="1">
      <c r="A12" s="530"/>
      <c r="B12" s="193" t="s">
        <v>145</v>
      </c>
      <c r="C12" s="200"/>
      <c r="D12" s="200"/>
      <c r="E12" s="200"/>
      <c r="F12" s="203"/>
      <c r="G12" s="203"/>
      <c r="H12" s="160">
        <f t="shared" si="1"/>
        <v>0</v>
      </c>
      <c r="I12" s="25"/>
    </row>
    <row r="13" spans="1:9" ht="15.9" customHeight="1">
      <c r="A13" s="530"/>
      <c r="B13" s="193"/>
      <c r="C13" s="200"/>
      <c r="D13" s="200"/>
      <c r="E13" s="200"/>
      <c r="F13" s="203"/>
      <c r="G13" s="203"/>
      <c r="H13" s="160">
        <f t="shared" si="1"/>
        <v>0</v>
      </c>
      <c r="I13" s="25"/>
    </row>
    <row r="14" spans="1:9" ht="15.9" customHeight="1">
      <c r="A14" s="530"/>
      <c r="B14" s="193"/>
      <c r="C14" s="200"/>
      <c r="D14" s="200"/>
      <c r="E14" s="200"/>
      <c r="F14" s="203"/>
      <c r="G14" s="203"/>
      <c r="H14" s="160">
        <f t="shared" si="1"/>
        <v>0</v>
      </c>
      <c r="I14" s="25"/>
    </row>
    <row r="15" spans="1:9" ht="15.9" customHeight="1">
      <c r="A15" s="530"/>
      <c r="B15" s="193"/>
      <c r="C15" s="204"/>
      <c r="D15" s="204"/>
      <c r="E15" s="204"/>
      <c r="F15" s="207"/>
      <c r="G15" s="207"/>
      <c r="H15" s="160">
        <f t="shared" si="1"/>
        <v>0</v>
      </c>
      <c r="I15" s="208"/>
    </row>
    <row r="16" spans="1:9" ht="15.9" customHeight="1">
      <c r="A16" s="530"/>
      <c r="B16" s="209"/>
      <c r="C16" s="210"/>
      <c r="D16" s="211"/>
      <c r="E16" s="211"/>
      <c r="F16" s="270"/>
      <c r="G16" s="213"/>
      <c r="H16" s="214">
        <f>SUM(H11:H15)</f>
        <v>0</v>
      </c>
      <c r="I16" s="215"/>
    </row>
    <row r="17" spans="1:9" ht="15.9" customHeight="1">
      <c r="A17" s="530"/>
      <c r="B17" s="236" t="s">
        <v>146</v>
      </c>
      <c r="C17" s="267"/>
      <c r="D17" s="267"/>
      <c r="E17" s="264"/>
      <c r="F17" s="271"/>
      <c r="G17" s="269"/>
      <c r="H17" s="221">
        <f t="shared" si="1"/>
        <v>0</v>
      </c>
      <c r="I17" s="222"/>
    </row>
    <row r="18" spans="1:9" ht="15.9" customHeight="1">
      <c r="A18" s="530"/>
      <c r="B18" s="193" t="s">
        <v>147</v>
      </c>
      <c r="C18" s="267"/>
      <c r="D18" s="267"/>
      <c r="E18" s="264"/>
      <c r="F18" s="271"/>
      <c r="G18" s="269"/>
      <c r="H18" s="160">
        <f t="shared" si="1"/>
        <v>0</v>
      </c>
      <c r="I18" s="272"/>
    </row>
    <row r="19" spans="1:9" ht="15.9" customHeight="1">
      <c r="A19" s="530"/>
      <c r="B19" s="193"/>
      <c r="C19" s="267"/>
      <c r="D19" s="267"/>
      <c r="E19" s="264"/>
      <c r="F19" s="271"/>
      <c r="G19" s="269"/>
      <c r="H19" s="160">
        <f t="shared" si="1"/>
        <v>0</v>
      </c>
      <c r="I19" s="272"/>
    </row>
    <row r="20" spans="1:9" ht="15.9" customHeight="1">
      <c r="A20" s="530"/>
      <c r="B20" s="193"/>
      <c r="C20" s="200"/>
      <c r="D20" s="267"/>
      <c r="E20" s="264"/>
      <c r="F20" s="268"/>
      <c r="G20" s="203"/>
      <c r="H20" s="160">
        <f t="shared" si="1"/>
        <v>0</v>
      </c>
      <c r="I20" s="25"/>
    </row>
    <row r="21" spans="1:9" ht="15.9" customHeight="1">
      <c r="A21" s="530"/>
      <c r="B21" s="193"/>
      <c r="C21" s="200"/>
      <c r="D21" s="267"/>
      <c r="E21" s="264"/>
      <c r="F21" s="268"/>
      <c r="G21" s="203"/>
      <c r="H21" s="160">
        <f t="shared" si="1"/>
        <v>0</v>
      </c>
      <c r="I21" s="25"/>
    </row>
    <row r="22" spans="1:9" ht="15.9" customHeight="1">
      <c r="A22" s="530"/>
      <c r="B22" s="193"/>
      <c r="C22" s="200"/>
      <c r="D22" s="267"/>
      <c r="E22" s="264"/>
      <c r="F22" s="268"/>
      <c r="G22" s="203"/>
      <c r="H22" s="160">
        <f t="shared" si="1"/>
        <v>0</v>
      </c>
      <c r="I22" s="25"/>
    </row>
    <row r="23" spans="1:9" ht="15.9" customHeight="1">
      <c r="A23" s="530"/>
      <c r="B23" s="193"/>
      <c r="C23" s="200"/>
      <c r="D23" s="267"/>
      <c r="E23" s="264"/>
      <c r="F23" s="268"/>
      <c r="G23" s="203"/>
      <c r="H23" s="160">
        <f t="shared" si="1"/>
        <v>0</v>
      </c>
      <c r="I23" s="25"/>
    </row>
    <row r="24" spans="1:9" ht="15.9" customHeight="1">
      <c r="A24" s="530"/>
      <c r="B24" s="193"/>
      <c r="C24" s="200"/>
      <c r="D24" s="267"/>
      <c r="E24" s="264"/>
      <c r="F24" s="268"/>
      <c r="G24" s="203"/>
      <c r="H24" s="160">
        <f t="shared" si="1"/>
        <v>0</v>
      </c>
      <c r="I24" s="25"/>
    </row>
    <row r="25" spans="1:9" ht="15.9" customHeight="1">
      <c r="A25" s="530"/>
      <c r="B25" s="193"/>
      <c r="C25" s="224"/>
      <c r="D25" s="278"/>
      <c r="E25" s="305"/>
      <c r="F25" s="306"/>
      <c r="G25" s="226"/>
      <c r="H25" s="227">
        <f t="shared" si="1"/>
        <v>0</v>
      </c>
      <c r="I25" s="228"/>
    </row>
    <row r="26" spans="1:9" ht="15.9" customHeight="1">
      <c r="A26" s="530"/>
      <c r="B26" s="209"/>
      <c r="C26" s="239"/>
      <c r="D26" s="215"/>
      <c r="E26" s="215"/>
      <c r="F26" s="214"/>
      <c r="G26" s="214"/>
      <c r="H26" s="214">
        <f>SUM(H17:H25)</f>
        <v>0</v>
      </c>
      <c r="I26" s="215"/>
    </row>
    <row r="27" spans="1:9" ht="15.9" customHeight="1">
      <c r="A27" s="530"/>
      <c r="B27" s="236" t="s">
        <v>333</v>
      </c>
      <c r="C27" s="200" t="s">
        <v>334</v>
      </c>
      <c r="D27" s="264"/>
      <c r="E27" s="264" t="s">
        <v>290</v>
      </c>
      <c r="F27" s="268">
        <v>20</v>
      </c>
      <c r="G27" s="203">
        <v>2500000</v>
      </c>
      <c r="H27" s="221">
        <f t="shared" si="1"/>
        <v>50000000</v>
      </c>
      <c r="I27" s="222"/>
    </row>
    <row r="28" spans="1:9" ht="15.9" customHeight="1">
      <c r="A28" s="530"/>
      <c r="B28" s="193"/>
      <c r="C28" s="200" t="s">
        <v>335</v>
      </c>
      <c r="D28" s="201"/>
      <c r="E28" s="264" t="s">
        <v>290</v>
      </c>
      <c r="F28" s="268">
        <f>SUM(F37:F42)</f>
        <v>480</v>
      </c>
      <c r="G28" s="203">
        <v>300000</v>
      </c>
      <c r="H28" s="160">
        <f t="shared" si="1"/>
        <v>144000000</v>
      </c>
      <c r="I28" s="25"/>
    </row>
    <row r="29" spans="1:9" ht="15.9" customHeight="1">
      <c r="A29" s="530"/>
      <c r="B29" s="193"/>
      <c r="C29" s="200"/>
      <c r="D29" s="201"/>
      <c r="E29" s="201"/>
      <c r="F29" s="202"/>
      <c r="G29" s="203"/>
      <c r="H29" s="160">
        <f t="shared" si="1"/>
        <v>0</v>
      </c>
      <c r="I29" s="25"/>
    </row>
    <row r="30" spans="1:9" ht="15.9" customHeight="1">
      <c r="A30" s="530"/>
      <c r="B30" s="193"/>
      <c r="C30" s="200"/>
      <c r="D30" s="201"/>
      <c r="E30" s="201"/>
      <c r="F30" s="202"/>
      <c r="G30" s="203"/>
      <c r="H30" s="160">
        <f t="shared" si="1"/>
        <v>0</v>
      </c>
      <c r="I30" s="25"/>
    </row>
    <row r="31" spans="1:9" ht="15.9" customHeight="1">
      <c r="A31" s="530"/>
      <c r="B31" s="193"/>
      <c r="C31" s="200"/>
      <c r="D31" s="201"/>
      <c r="E31" s="201"/>
      <c r="F31" s="202"/>
      <c r="G31" s="203"/>
      <c r="H31" s="160">
        <f t="shared" si="1"/>
        <v>0</v>
      </c>
      <c r="I31" s="25"/>
    </row>
    <row r="32" spans="1:9" ht="15.9" customHeight="1">
      <c r="A32" s="530"/>
      <c r="B32" s="193"/>
      <c r="C32" s="200"/>
      <c r="D32" s="201"/>
      <c r="E32" s="201"/>
      <c r="F32" s="202"/>
      <c r="G32" s="203"/>
      <c r="H32" s="160">
        <f t="shared" si="1"/>
        <v>0</v>
      </c>
      <c r="I32" s="25"/>
    </row>
    <row r="33" spans="1:9" ht="15.9" customHeight="1">
      <c r="A33" s="530"/>
      <c r="B33" s="193"/>
      <c r="C33" s="224"/>
      <c r="D33" s="305"/>
      <c r="E33" s="305"/>
      <c r="F33" s="306"/>
      <c r="G33" s="226"/>
      <c r="H33" s="227">
        <f t="shared" si="1"/>
        <v>0</v>
      </c>
      <c r="I33" s="228"/>
    </row>
    <row r="34" spans="1:9" ht="15.9" customHeight="1">
      <c r="A34" s="530"/>
      <c r="B34" s="209"/>
      <c r="C34" s="239"/>
      <c r="D34" s="215"/>
      <c r="E34" s="215"/>
      <c r="F34" s="214"/>
      <c r="G34" s="214"/>
      <c r="H34" s="214">
        <f>SUM(H27:H33)</f>
        <v>194000000</v>
      </c>
      <c r="I34" s="215"/>
    </row>
    <row r="35" spans="1:9" ht="15.9" customHeight="1">
      <c r="A35" s="237"/>
      <c r="B35" s="238" t="s">
        <v>129</v>
      </c>
      <c r="C35" s="239"/>
      <c r="D35" s="215"/>
      <c r="E35" s="215"/>
      <c r="F35" s="241"/>
      <c r="G35" s="241"/>
      <c r="H35" s="214">
        <f>SUM(H34,H26,H16,H10)</f>
        <v>194000000</v>
      </c>
      <c r="I35" s="215"/>
    </row>
    <row r="36" spans="1:9" ht="15.9" customHeight="1">
      <c r="A36" s="531" t="s">
        <v>130</v>
      </c>
      <c r="B36" s="242" t="s">
        <v>336</v>
      </c>
      <c r="C36" s="239"/>
      <c r="D36" s="215"/>
      <c r="E36" s="243"/>
      <c r="F36" s="214"/>
      <c r="G36" s="241"/>
      <c r="H36" s="246">
        <f>F36*G36</f>
        <v>0</v>
      </c>
      <c r="I36" s="215"/>
    </row>
    <row r="37" spans="1:9" ht="15.9" customHeight="1">
      <c r="A37" s="530"/>
      <c r="B37" s="247" t="s">
        <v>337</v>
      </c>
      <c r="C37" s="287"/>
      <c r="D37" s="288"/>
      <c r="E37" s="368" t="s">
        <v>132</v>
      </c>
      <c r="F37" s="372">
        <v>150</v>
      </c>
      <c r="G37" s="220">
        <v>400000</v>
      </c>
      <c r="H37" s="221">
        <f t="shared" ref="H37:H44" si="2">F37*G37</f>
        <v>60000000</v>
      </c>
      <c r="I37" s="222"/>
    </row>
    <row r="38" spans="1:9" ht="15.9" customHeight="1">
      <c r="A38" s="530"/>
      <c r="B38" s="281" t="s">
        <v>338</v>
      </c>
      <c r="C38" s="290"/>
      <c r="D38" s="267"/>
      <c r="E38" s="369" t="s">
        <v>132</v>
      </c>
      <c r="F38" s="271">
        <v>90</v>
      </c>
      <c r="G38" s="203">
        <v>400000</v>
      </c>
      <c r="H38" s="160">
        <f t="shared" si="2"/>
        <v>36000000</v>
      </c>
      <c r="I38" s="25"/>
    </row>
    <row r="39" spans="1:9" ht="15.9" customHeight="1">
      <c r="A39" s="530"/>
      <c r="B39" s="250" t="s">
        <v>152</v>
      </c>
      <c r="C39" s="290"/>
      <c r="D39" s="267"/>
      <c r="E39" s="369" t="s">
        <v>132</v>
      </c>
      <c r="F39" s="271">
        <v>120</v>
      </c>
      <c r="G39" s="203">
        <v>400000</v>
      </c>
      <c r="H39" s="160">
        <f t="shared" si="2"/>
        <v>48000000</v>
      </c>
      <c r="I39" s="25"/>
    </row>
    <row r="40" spans="1:9" ht="15.9" customHeight="1">
      <c r="A40" s="530"/>
      <c r="B40" s="250" t="s">
        <v>339</v>
      </c>
      <c r="C40" s="290"/>
      <c r="D40" s="267"/>
      <c r="E40" s="369" t="s">
        <v>132</v>
      </c>
      <c r="F40" s="271">
        <v>120</v>
      </c>
      <c r="G40" s="203">
        <v>500000</v>
      </c>
      <c r="H40" s="160">
        <f t="shared" si="2"/>
        <v>60000000</v>
      </c>
      <c r="I40" s="25"/>
    </row>
    <row r="41" spans="1:9" ht="15.9" customHeight="1">
      <c r="A41" s="530"/>
      <c r="B41" s="250" t="s">
        <v>340</v>
      </c>
      <c r="C41" s="290"/>
      <c r="D41" s="267"/>
      <c r="E41" s="369"/>
      <c r="F41" s="271"/>
      <c r="G41" s="203"/>
      <c r="H41" s="160">
        <f t="shared" ref="H41" si="3">F41*G41</f>
        <v>0</v>
      </c>
      <c r="I41" s="25"/>
    </row>
    <row r="42" spans="1:9" ht="15.9" customHeight="1">
      <c r="A42" s="530"/>
      <c r="B42" s="250" t="s">
        <v>341</v>
      </c>
      <c r="C42" s="290"/>
      <c r="D42" s="267"/>
      <c r="E42" s="369"/>
      <c r="F42" s="271"/>
      <c r="G42" s="203"/>
      <c r="H42" s="160">
        <f t="shared" si="2"/>
        <v>0</v>
      </c>
      <c r="I42" s="25"/>
    </row>
    <row r="43" spans="1:9" ht="15.9" customHeight="1">
      <c r="A43" s="530"/>
      <c r="B43" s="285" t="s">
        <v>343</v>
      </c>
      <c r="C43" s="371"/>
      <c r="D43" s="278"/>
      <c r="E43" s="369"/>
      <c r="F43" s="373"/>
      <c r="G43" s="226"/>
      <c r="H43" s="227">
        <f t="shared" si="2"/>
        <v>0</v>
      </c>
      <c r="I43" s="228"/>
    </row>
    <row r="44" spans="1:9" ht="15.9" customHeight="1">
      <c r="A44" s="530"/>
      <c r="B44" s="253"/>
      <c r="C44" s="292"/>
      <c r="D44" s="293"/>
      <c r="E44" s="370"/>
      <c r="F44" s="374"/>
      <c r="G44" s="207"/>
      <c r="H44" s="161">
        <f t="shared" si="2"/>
        <v>0</v>
      </c>
      <c r="I44" s="208"/>
    </row>
    <row r="45" spans="1:9" ht="15.9" customHeight="1">
      <c r="A45" s="237"/>
      <c r="B45" s="256" t="s">
        <v>138</v>
      </c>
      <c r="C45" s="239"/>
      <c r="D45" s="215"/>
      <c r="E45" s="191"/>
      <c r="F45" s="213"/>
      <c r="G45" s="213"/>
      <c r="H45" s="213">
        <f>SUM(H36:H44)</f>
        <v>204000000</v>
      </c>
      <c r="I45" s="211"/>
    </row>
    <row r="46" spans="1:9" ht="15.9" customHeight="1">
      <c r="A46" s="243"/>
      <c r="B46" s="256" t="s">
        <v>155</v>
      </c>
      <c r="C46" s="239"/>
      <c r="D46" s="215"/>
      <c r="E46" s="191"/>
      <c r="F46" s="214"/>
      <c r="G46" s="214"/>
      <c r="H46" s="241">
        <f>'단위공사별(집계)'!L21+'단위공사별(집계)'!I21</f>
        <v>0</v>
      </c>
      <c r="I46" s="215"/>
    </row>
    <row r="47" spans="1:9" ht="15.9" customHeight="1">
      <c r="A47" s="243"/>
      <c r="B47" s="256" t="s">
        <v>80</v>
      </c>
      <c r="C47" s="239"/>
      <c r="D47" s="215"/>
      <c r="E47" s="215"/>
      <c r="F47" s="214"/>
      <c r="G47" s="258"/>
      <c r="H47" s="259"/>
      <c r="I47" s="239"/>
    </row>
    <row r="48" spans="1:9" ht="15.9" customHeight="1">
      <c r="A48" s="243"/>
      <c r="B48" s="256" t="s">
        <v>141</v>
      </c>
      <c r="C48" s="239"/>
      <c r="D48" s="215"/>
      <c r="E48" s="215"/>
      <c r="F48" s="214"/>
      <c r="G48" s="258"/>
      <c r="H48" s="259"/>
      <c r="I48" s="239"/>
    </row>
    <row r="49" spans="1:9" ht="15.9" customHeight="1">
      <c r="A49" s="243"/>
      <c r="B49" s="256" t="s">
        <v>142</v>
      </c>
      <c r="C49" s="239"/>
      <c r="D49" s="215"/>
      <c r="E49" s="215"/>
      <c r="F49" s="214"/>
      <c r="G49" s="214"/>
      <c r="H49" s="213">
        <f>H35+H45+H46+H47+H48</f>
        <v>398000000</v>
      </c>
      <c r="I49" s="215"/>
    </row>
    <row r="50" spans="1:9">
      <c r="A50" s="121"/>
    </row>
  </sheetData>
  <mergeCells count="3">
    <mergeCell ref="A2:B2"/>
    <mergeCell ref="A3:A34"/>
    <mergeCell ref="A36:A4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/>
    <pageSetUpPr fitToPage="1"/>
  </sheetPr>
  <dimension ref="A1:K74"/>
  <sheetViews>
    <sheetView zoomScale="130" zoomScaleNormal="130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E61" sqref="E61:E68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10" width="9" style="115"/>
    <col min="11" max="11" width="10" style="115" bestFit="1" customWidth="1"/>
    <col min="12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266" width="9" style="115"/>
    <col min="267" max="267" width="10" style="115" bestFit="1" customWidth="1"/>
    <col min="268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522" width="9" style="115"/>
    <col min="523" max="523" width="10" style="115" bestFit="1" customWidth="1"/>
    <col min="524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778" width="9" style="115"/>
    <col min="779" max="779" width="10" style="115" bestFit="1" customWidth="1"/>
    <col min="780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034" width="9" style="115"/>
    <col min="1035" max="1035" width="10" style="115" bestFit="1" customWidth="1"/>
    <col min="1036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290" width="9" style="115"/>
    <col min="1291" max="1291" width="10" style="115" bestFit="1" customWidth="1"/>
    <col min="1292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546" width="9" style="115"/>
    <col min="1547" max="1547" width="10" style="115" bestFit="1" customWidth="1"/>
    <col min="1548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1802" width="9" style="115"/>
    <col min="1803" max="1803" width="10" style="115" bestFit="1" customWidth="1"/>
    <col min="1804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058" width="9" style="115"/>
    <col min="2059" max="2059" width="10" style="115" bestFit="1" customWidth="1"/>
    <col min="2060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314" width="9" style="115"/>
    <col min="2315" max="2315" width="10" style="115" bestFit="1" customWidth="1"/>
    <col min="2316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570" width="9" style="115"/>
    <col min="2571" max="2571" width="10" style="115" bestFit="1" customWidth="1"/>
    <col min="2572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2826" width="9" style="115"/>
    <col min="2827" max="2827" width="10" style="115" bestFit="1" customWidth="1"/>
    <col min="2828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082" width="9" style="115"/>
    <col min="3083" max="3083" width="10" style="115" bestFit="1" customWidth="1"/>
    <col min="3084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338" width="9" style="115"/>
    <col min="3339" max="3339" width="10" style="115" bestFit="1" customWidth="1"/>
    <col min="3340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594" width="9" style="115"/>
    <col min="3595" max="3595" width="10" style="115" bestFit="1" customWidth="1"/>
    <col min="3596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3850" width="9" style="115"/>
    <col min="3851" max="3851" width="10" style="115" bestFit="1" customWidth="1"/>
    <col min="3852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106" width="9" style="115"/>
    <col min="4107" max="4107" width="10" style="115" bestFit="1" customWidth="1"/>
    <col min="4108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362" width="9" style="115"/>
    <col min="4363" max="4363" width="10" style="115" bestFit="1" customWidth="1"/>
    <col min="4364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618" width="9" style="115"/>
    <col min="4619" max="4619" width="10" style="115" bestFit="1" customWidth="1"/>
    <col min="4620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4874" width="9" style="115"/>
    <col min="4875" max="4875" width="10" style="115" bestFit="1" customWidth="1"/>
    <col min="4876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130" width="9" style="115"/>
    <col min="5131" max="5131" width="10" style="115" bestFit="1" customWidth="1"/>
    <col min="5132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386" width="9" style="115"/>
    <col min="5387" max="5387" width="10" style="115" bestFit="1" customWidth="1"/>
    <col min="5388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642" width="9" style="115"/>
    <col min="5643" max="5643" width="10" style="115" bestFit="1" customWidth="1"/>
    <col min="5644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5898" width="9" style="115"/>
    <col min="5899" max="5899" width="10" style="115" bestFit="1" customWidth="1"/>
    <col min="5900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154" width="9" style="115"/>
    <col min="6155" max="6155" width="10" style="115" bestFit="1" customWidth="1"/>
    <col min="6156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410" width="9" style="115"/>
    <col min="6411" max="6411" width="10" style="115" bestFit="1" customWidth="1"/>
    <col min="6412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666" width="9" style="115"/>
    <col min="6667" max="6667" width="10" style="115" bestFit="1" customWidth="1"/>
    <col min="6668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6922" width="9" style="115"/>
    <col min="6923" max="6923" width="10" style="115" bestFit="1" customWidth="1"/>
    <col min="6924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178" width="9" style="115"/>
    <col min="7179" max="7179" width="10" style="115" bestFit="1" customWidth="1"/>
    <col min="7180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434" width="9" style="115"/>
    <col min="7435" max="7435" width="10" style="115" bestFit="1" customWidth="1"/>
    <col min="7436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690" width="9" style="115"/>
    <col min="7691" max="7691" width="10" style="115" bestFit="1" customWidth="1"/>
    <col min="7692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7946" width="9" style="115"/>
    <col min="7947" max="7947" width="10" style="115" bestFit="1" customWidth="1"/>
    <col min="7948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202" width="9" style="115"/>
    <col min="8203" max="8203" width="10" style="115" bestFit="1" customWidth="1"/>
    <col min="8204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458" width="9" style="115"/>
    <col min="8459" max="8459" width="10" style="115" bestFit="1" customWidth="1"/>
    <col min="8460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714" width="9" style="115"/>
    <col min="8715" max="8715" width="10" style="115" bestFit="1" customWidth="1"/>
    <col min="8716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8970" width="9" style="115"/>
    <col min="8971" max="8971" width="10" style="115" bestFit="1" customWidth="1"/>
    <col min="8972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226" width="9" style="115"/>
    <col min="9227" max="9227" width="10" style="115" bestFit="1" customWidth="1"/>
    <col min="9228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482" width="9" style="115"/>
    <col min="9483" max="9483" width="10" style="115" bestFit="1" customWidth="1"/>
    <col min="9484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738" width="9" style="115"/>
    <col min="9739" max="9739" width="10" style="115" bestFit="1" customWidth="1"/>
    <col min="9740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9994" width="9" style="115"/>
    <col min="9995" max="9995" width="10" style="115" bestFit="1" customWidth="1"/>
    <col min="9996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250" width="9" style="115"/>
    <col min="10251" max="10251" width="10" style="115" bestFit="1" customWidth="1"/>
    <col min="10252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506" width="9" style="115"/>
    <col min="10507" max="10507" width="10" style="115" bestFit="1" customWidth="1"/>
    <col min="10508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0762" width="9" style="115"/>
    <col min="10763" max="10763" width="10" style="115" bestFit="1" customWidth="1"/>
    <col min="10764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018" width="9" style="115"/>
    <col min="11019" max="11019" width="10" style="115" bestFit="1" customWidth="1"/>
    <col min="11020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274" width="9" style="115"/>
    <col min="11275" max="11275" width="10" style="115" bestFit="1" customWidth="1"/>
    <col min="11276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530" width="9" style="115"/>
    <col min="11531" max="11531" width="10" style="115" bestFit="1" customWidth="1"/>
    <col min="11532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1786" width="9" style="115"/>
    <col min="11787" max="11787" width="10" style="115" bestFit="1" customWidth="1"/>
    <col min="11788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042" width="9" style="115"/>
    <col min="12043" max="12043" width="10" style="115" bestFit="1" customWidth="1"/>
    <col min="12044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298" width="9" style="115"/>
    <col min="12299" max="12299" width="10" style="115" bestFit="1" customWidth="1"/>
    <col min="12300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554" width="9" style="115"/>
    <col min="12555" max="12555" width="10" style="115" bestFit="1" customWidth="1"/>
    <col min="12556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2810" width="9" style="115"/>
    <col min="12811" max="12811" width="10" style="115" bestFit="1" customWidth="1"/>
    <col min="12812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066" width="9" style="115"/>
    <col min="13067" max="13067" width="10" style="115" bestFit="1" customWidth="1"/>
    <col min="13068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322" width="9" style="115"/>
    <col min="13323" max="13323" width="10" style="115" bestFit="1" customWidth="1"/>
    <col min="13324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578" width="9" style="115"/>
    <col min="13579" max="13579" width="10" style="115" bestFit="1" customWidth="1"/>
    <col min="13580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3834" width="9" style="115"/>
    <col min="13835" max="13835" width="10" style="115" bestFit="1" customWidth="1"/>
    <col min="13836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090" width="9" style="115"/>
    <col min="14091" max="14091" width="10" style="115" bestFit="1" customWidth="1"/>
    <col min="14092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346" width="9" style="115"/>
    <col min="14347" max="14347" width="10" style="115" bestFit="1" customWidth="1"/>
    <col min="14348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602" width="9" style="115"/>
    <col min="14603" max="14603" width="10" style="115" bestFit="1" customWidth="1"/>
    <col min="14604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4858" width="9" style="115"/>
    <col min="14859" max="14859" width="10" style="115" bestFit="1" customWidth="1"/>
    <col min="14860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114" width="9" style="115"/>
    <col min="15115" max="15115" width="10" style="115" bestFit="1" customWidth="1"/>
    <col min="15116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370" width="9" style="115"/>
    <col min="15371" max="15371" width="10" style="115" bestFit="1" customWidth="1"/>
    <col min="15372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626" width="9" style="115"/>
    <col min="15627" max="15627" width="10" style="115" bestFit="1" customWidth="1"/>
    <col min="15628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5882" width="9" style="115"/>
    <col min="15883" max="15883" width="10" style="115" bestFit="1" customWidth="1"/>
    <col min="15884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138" width="9" style="115"/>
    <col min="16139" max="16139" width="10" style="115" bestFit="1" customWidth="1"/>
    <col min="16140" max="16384" width="9" style="115"/>
  </cols>
  <sheetData>
    <row r="1" spans="1:11" ht="22.5" customHeight="1">
      <c r="B1" s="187" t="s">
        <v>143</v>
      </c>
      <c r="C1" s="532"/>
      <c r="D1" s="532"/>
      <c r="F1" s="262"/>
      <c r="I1" s="115" t="s">
        <v>114</v>
      </c>
      <c r="K1" s="263"/>
    </row>
    <row r="2" spans="1:11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11" ht="15.9" customHeight="1">
      <c r="A3" s="526" t="s">
        <v>121</v>
      </c>
      <c r="B3" s="193" t="s">
        <v>122</v>
      </c>
      <c r="C3" s="200"/>
      <c r="D3" s="264"/>
      <c r="E3" s="201"/>
      <c r="F3" s="202"/>
      <c r="G3" s="203"/>
      <c r="H3" s="160">
        <f>IF(F3=0,G3,G3*F3)</f>
        <v>0</v>
      </c>
      <c r="I3" s="116"/>
    </row>
    <row r="4" spans="1:11" ht="15.9" customHeight="1">
      <c r="A4" s="527"/>
      <c r="B4" s="193"/>
      <c r="C4" s="304"/>
      <c r="D4" s="266"/>
      <c r="E4" s="201"/>
      <c r="F4" s="202"/>
      <c r="G4" s="269"/>
      <c r="H4" s="160">
        <f>F4*G4</f>
        <v>0</v>
      </c>
      <c r="I4" s="272"/>
    </row>
    <row r="5" spans="1:11" ht="15.9" customHeight="1">
      <c r="A5" s="530"/>
      <c r="B5" s="193"/>
      <c r="C5" s="267"/>
      <c r="D5" s="267"/>
      <c r="E5" s="201"/>
      <c r="F5" s="202"/>
      <c r="G5" s="269"/>
      <c r="H5" s="160">
        <f>F5*G5</f>
        <v>0</v>
      </c>
      <c r="I5" s="272"/>
    </row>
    <row r="6" spans="1:11" ht="15.9" customHeight="1">
      <c r="A6" s="530"/>
      <c r="B6" s="193"/>
      <c r="C6" s="267"/>
      <c r="D6" s="267"/>
      <c r="E6" s="201"/>
      <c r="F6" s="202"/>
      <c r="G6" s="269"/>
      <c r="H6" s="160">
        <f>F6*G6</f>
        <v>0</v>
      </c>
      <c r="I6" s="272"/>
    </row>
    <row r="7" spans="1:11" ht="15.9" customHeight="1">
      <c r="A7" s="530"/>
      <c r="B7" s="193"/>
      <c r="C7" s="267"/>
      <c r="D7" s="267"/>
      <c r="E7" s="201"/>
      <c r="F7" s="202"/>
      <c r="G7" s="269"/>
      <c r="H7" s="160">
        <f t="shared" ref="H7:H12" si="0">F7*G7</f>
        <v>0</v>
      </c>
      <c r="I7" s="272"/>
    </row>
    <row r="8" spans="1:11" ht="15.9" customHeight="1">
      <c r="A8" s="530"/>
      <c r="B8" s="193"/>
      <c r="C8" s="267"/>
      <c r="D8" s="267"/>
      <c r="E8" s="201"/>
      <c r="F8" s="268"/>
      <c r="G8" s="269"/>
      <c r="H8" s="160">
        <f t="shared" si="0"/>
        <v>0</v>
      </c>
      <c r="I8" s="272"/>
    </row>
    <row r="9" spans="1:11" ht="15.9" customHeight="1">
      <c r="A9" s="530"/>
      <c r="B9" s="193"/>
      <c r="C9" s="267"/>
      <c r="D9" s="267"/>
      <c r="E9" s="201"/>
      <c r="F9" s="202"/>
      <c r="G9" s="269"/>
      <c r="H9" s="160">
        <f t="shared" si="0"/>
        <v>0</v>
      </c>
      <c r="I9" s="272"/>
    </row>
    <row r="10" spans="1:11" ht="15.9" customHeight="1">
      <c r="A10" s="530"/>
      <c r="B10" s="193"/>
      <c r="C10" s="267"/>
      <c r="D10" s="267"/>
      <c r="E10" s="201"/>
      <c r="F10" s="202"/>
      <c r="G10" s="203"/>
      <c r="H10" s="160">
        <f t="shared" ref="H10" si="1">IF(F10=0,G10,G10*F10)</f>
        <v>0</v>
      </c>
      <c r="I10" s="272"/>
    </row>
    <row r="11" spans="1:11" ht="15.9" customHeight="1">
      <c r="A11" s="530"/>
      <c r="B11" s="193"/>
      <c r="C11" s="267"/>
      <c r="D11" s="267"/>
      <c r="E11" s="201"/>
      <c r="F11" s="268"/>
      <c r="G11" s="269"/>
      <c r="H11" s="160">
        <f t="shared" si="0"/>
        <v>0</v>
      </c>
      <c r="I11" s="272"/>
    </row>
    <row r="12" spans="1:11" ht="15.9" customHeight="1">
      <c r="A12" s="530"/>
      <c r="B12" s="193"/>
      <c r="C12" s="267"/>
      <c r="D12" s="267"/>
      <c r="E12" s="201"/>
      <c r="F12" s="268"/>
      <c r="G12" s="269"/>
      <c r="H12" s="160">
        <f t="shared" si="0"/>
        <v>0</v>
      </c>
      <c r="I12" s="272"/>
    </row>
    <row r="13" spans="1:11" ht="15.9" customHeight="1">
      <c r="A13" s="530"/>
      <c r="B13" s="193"/>
      <c r="C13" s="267"/>
      <c r="D13" s="267"/>
      <c r="E13" s="201"/>
      <c r="F13" s="268"/>
      <c r="G13" s="269"/>
      <c r="H13" s="160">
        <f t="shared" ref="H13:H15" si="2">F13*G13</f>
        <v>0</v>
      </c>
      <c r="I13" s="272"/>
    </row>
    <row r="14" spans="1:11" ht="15.9" customHeight="1">
      <c r="A14" s="530"/>
      <c r="B14" s="193"/>
      <c r="C14" s="267"/>
      <c r="D14" s="267"/>
      <c r="E14" s="201"/>
      <c r="F14" s="268"/>
      <c r="G14" s="269"/>
      <c r="H14" s="160">
        <f t="shared" si="2"/>
        <v>0</v>
      </c>
      <c r="I14" s="272"/>
    </row>
    <row r="15" spans="1:11" ht="15.9" customHeight="1">
      <c r="A15" s="530"/>
      <c r="B15" s="193"/>
      <c r="C15" s="267"/>
      <c r="D15" s="267"/>
      <c r="E15" s="201"/>
      <c r="F15" s="268"/>
      <c r="G15" s="269"/>
      <c r="H15" s="160">
        <f t="shared" si="2"/>
        <v>0</v>
      </c>
      <c r="I15" s="272"/>
    </row>
    <row r="16" spans="1:11" ht="15.9" customHeight="1">
      <c r="A16" s="530"/>
      <c r="B16" s="193"/>
      <c r="C16" s="200"/>
      <c r="D16" s="200"/>
      <c r="E16" s="201"/>
      <c r="F16" s="202"/>
      <c r="G16" s="203"/>
      <c r="H16" s="160">
        <f t="shared" ref="H16" si="3">IF(F16=0,G16,G16*F16)</f>
        <v>0</v>
      </c>
      <c r="I16" s="25"/>
    </row>
    <row r="17" spans="1:9" ht="15.9" customHeight="1">
      <c r="A17" s="530"/>
      <c r="B17" s="193"/>
      <c r="C17" s="267"/>
      <c r="D17" s="267"/>
      <c r="E17" s="264"/>
      <c r="F17" s="268"/>
      <c r="G17" s="269"/>
      <c r="H17" s="160">
        <f>F17*G17</f>
        <v>0</v>
      </c>
      <c r="I17" s="25"/>
    </row>
    <row r="18" spans="1:9" ht="15.9" customHeight="1">
      <c r="A18" s="530"/>
      <c r="B18" s="193"/>
      <c r="C18" s="200"/>
      <c r="D18" s="200"/>
      <c r="E18" s="201"/>
      <c r="F18" s="202"/>
      <c r="G18" s="203"/>
      <c r="H18" s="160">
        <f>F18*G18</f>
        <v>0</v>
      </c>
      <c r="I18" s="25"/>
    </row>
    <row r="19" spans="1:9" ht="15.9" customHeight="1">
      <c r="A19" s="530"/>
      <c r="B19" s="193"/>
      <c r="C19" s="204"/>
      <c r="D19" s="205"/>
      <c r="E19" s="205"/>
      <c r="F19" s="206"/>
      <c r="G19" s="207"/>
      <c r="H19" s="227">
        <f t="shared" ref="H19:H58" si="4">IF(F19=0,G19,G19*F19)</f>
        <v>0</v>
      </c>
      <c r="I19" s="228"/>
    </row>
    <row r="20" spans="1:9" ht="15.9" customHeight="1">
      <c r="A20" s="530"/>
      <c r="B20" s="209"/>
      <c r="C20" s="235"/>
      <c r="D20" s="235"/>
      <c r="E20" s="235"/>
      <c r="F20" s="233"/>
      <c r="G20" s="233"/>
      <c r="H20" s="234">
        <f>SUM(H3:H19)</f>
        <v>0</v>
      </c>
      <c r="I20" s="235"/>
    </row>
    <row r="21" spans="1:9" ht="15.9" customHeight="1">
      <c r="A21" s="530"/>
      <c r="B21" s="193" t="s">
        <v>144</v>
      </c>
      <c r="C21" s="194"/>
      <c r="D21" s="194"/>
      <c r="E21" s="195"/>
      <c r="F21" s="196"/>
      <c r="G21" s="197"/>
      <c r="H21" s="198">
        <f t="shared" si="4"/>
        <v>0</v>
      </c>
      <c r="I21" s="199"/>
    </row>
    <row r="22" spans="1:9" ht="15.9" customHeight="1">
      <c r="A22" s="530"/>
      <c r="B22" s="193" t="s">
        <v>145</v>
      </c>
      <c r="C22" s="200"/>
      <c r="D22" s="200"/>
      <c r="E22" s="200"/>
      <c r="F22" s="202"/>
      <c r="G22" s="203"/>
      <c r="H22" s="160">
        <f t="shared" si="4"/>
        <v>0</v>
      </c>
      <c r="I22" s="25"/>
    </row>
    <row r="23" spans="1:9" ht="15.9" customHeight="1">
      <c r="A23" s="530"/>
      <c r="B23" s="193"/>
      <c r="C23" s="200"/>
      <c r="D23" s="200"/>
      <c r="E23" s="200"/>
      <c r="F23" s="202"/>
      <c r="G23" s="203"/>
      <c r="H23" s="160">
        <f t="shared" si="4"/>
        <v>0</v>
      </c>
      <c r="I23" s="25"/>
    </row>
    <row r="24" spans="1:9" ht="15.9" customHeight="1">
      <c r="A24" s="530"/>
      <c r="B24" s="193"/>
      <c r="C24" s="200"/>
      <c r="D24" s="200"/>
      <c r="E24" s="200"/>
      <c r="F24" s="202"/>
      <c r="G24" s="203"/>
      <c r="H24" s="160">
        <f t="shared" si="4"/>
        <v>0</v>
      </c>
      <c r="I24" s="25"/>
    </row>
    <row r="25" spans="1:9" ht="15.9" customHeight="1">
      <c r="A25" s="530"/>
      <c r="B25" s="193"/>
      <c r="C25" s="204"/>
      <c r="D25" s="204"/>
      <c r="E25" s="205"/>
      <c r="F25" s="206"/>
      <c r="G25" s="207"/>
      <c r="H25" s="160">
        <f t="shared" si="4"/>
        <v>0</v>
      </c>
      <c r="I25" s="208"/>
    </row>
    <row r="26" spans="1:9" ht="15.9" customHeight="1">
      <c r="A26" s="530"/>
      <c r="B26" s="209"/>
      <c r="C26" s="210"/>
      <c r="D26" s="211"/>
      <c r="E26" s="211"/>
      <c r="F26" s="270"/>
      <c r="G26" s="213"/>
      <c r="H26" s="214">
        <f>SUM(H21:H25)</f>
        <v>0</v>
      </c>
      <c r="I26" s="215"/>
    </row>
    <row r="27" spans="1:9" ht="15.9" customHeight="1">
      <c r="A27" s="530"/>
      <c r="B27" s="236" t="s">
        <v>146</v>
      </c>
      <c r="C27" s="267"/>
      <c r="D27" s="264"/>
      <c r="E27" s="264"/>
      <c r="F27" s="271"/>
      <c r="G27" s="269"/>
      <c r="H27" s="168">
        <f t="shared" si="4"/>
        <v>0</v>
      </c>
      <c r="I27" s="20"/>
    </row>
    <row r="28" spans="1:9" ht="15.9" customHeight="1">
      <c r="A28" s="530"/>
      <c r="B28" s="193" t="s">
        <v>147</v>
      </c>
      <c r="C28" s="323"/>
      <c r="D28" s="264"/>
      <c r="E28" s="264"/>
      <c r="F28" s="271"/>
      <c r="G28" s="269"/>
      <c r="H28" s="160">
        <f t="shared" si="4"/>
        <v>0</v>
      </c>
      <c r="I28" s="272"/>
    </row>
    <row r="29" spans="1:9" ht="15.9" customHeight="1">
      <c r="A29" s="530"/>
      <c r="B29" s="193"/>
      <c r="C29" s="267"/>
      <c r="D29" s="264"/>
      <c r="E29" s="264"/>
      <c r="F29" s="271"/>
      <c r="G29" s="269"/>
      <c r="H29" s="160">
        <f t="shared" si="4"/>
        <v>0</v>
      </c>
      <c r="I29" s="272"/>
    </row>
    <row r="30" spans="1:9" ht="15.9" customHeight="1">
      <c r="A30" s="530"/>
      <c r="B30" s="193"/>
      <c r="C30" s="267"/>
      <c r="D30" s="264"/>
      <c r="E30" s="264"/>
      <c r="F30" s="271"/>
      <c r="G30" s="269"/>
      <c r="H30" s="160">
        <f t="shared" si="4"/>
        <v>0</v>
      </c>
      <c r="I30" s="272"/>
    </row>
    <row r="31" spans="1:9" ht="15.9" customHeight="1">
      <c r="A31" s="530"/>
      <c r="B31" s="193"/>
      <c r="C31" s="267"/>
      <c r="D31" s="264"/>
      <c r="E31" s="264"/>
      <c r="F31" s="271"/>
      <c r="G31" s="269"/>
      <c r="H31" s="160">
        <f t="shared" si="4"/>
        <v>0</v>
      </c>
      <c r="I31" s="272"/>
    </row>
    <row r="32" spans="1:9" ht="15.9" customHeight="1">
      <c r="A32" s="530"/>
      <c r="B32" s="193"/>
      <c r="C32" s="267"/>
      <c r="D32" s="264"/>
      <c r="E32" s="264"/>
      <c r="F32" s="271"/>
      <c r="G32" s="269"/>
      <c r="H32" s="160">
        <f t="shared" si="4"/>
        <v>0</v>
      </c>
      <c r="I32" s="272"/>
    </row>
    <row r="33" spans="1:9" ht="15.9" customHeight="1">
      <c r="A33" s="530"/>
      <c r="B33" s="193"/>
      <c r="C33" s="267"/>
      <c r="D33" s="264"/>
      <c r="E33" s="264"/>
      <c r="F33" s="271"/>
      <c r="G33" s="269"/>
      <c r="H33" s="160">
        <f t="shared" si="4"/>
        <v>0</v>
      </c>
      <c r="I33" s="272"/>
    </row>
    <row r="34" spans="1:9" ht="15.9" customHeight="1">
      <c r="A34" s="530"/>
      <c r="B34" s="193"/>
      <c r="C34" s="200"/>
      <c r="D34" s="264"/>
      <c r="E34" s="264"/>
      <c r="F34" s="268"/>
      <c r="G34" s="203"/>
      <c r="H34" s="160">
        <f t="shared" si="4"/>
        <v>0</v>
      </c>
      <c r="I34" s="272"/>
    </row>
    <row r="35" spans="1:9" ht="15.9" customHeight="1">
      <c r="A35" s="530"/>
      <c r="B35" s="193"/>
      <c r="C35" s="200"/>
      <c r="D35" s="264"/>
      <c r="E35" s="264"/>
      <c r="F35" s="271"/>
      <c r="G35" s="203"/>
      <c r="H35" s="160">
        <f t="shared" si="4"/>
        <v>0</v>
      </c>
      <c r="I35" s="272"/>
    </row>
    <row r="36" spans="1:9" ht="15.9" customHeight="1">
      <c r="A36" s="530"/>
      <c r="B36" s="193"/>
      <c r="C36" s="200"/>
      <c r="D36" s="264"/>
      <c r="E36" s="264"/>
      <c r="F36" s="268"/>
      <c r="G36" s="203"/>
      <c r="H36" s="160">
        <f t="shared" si="4"/>
        <v>0</v>
      </c>
      <c r="I36" s="272"/>
    </row>
    <row r="37" spans="1:9" ht="15.9" customHeight="1">
      <c r="A37" s="530"/>
      <c r="B37" s="193"/>
      <c r="C37" s="200"/>
      <c r="D37" s="264"/>
      <c r="E37" s="264"/>
      <c r="F37" s="268"/>
      <c r="G37" s="203"/>
      <c r="H37" s="160">
        <f t="shared" si="4"/>
        <v>0</v>
      </c>
      <c r="I37" s="272"/>
    </row>
    <row r="38" spans="1:9" ht="15.9" customHeight="1">
      <c r="A38" s="530"/>
      <c r="B38" s="193"/>
      <c r="C38" s="200"/>
      <c r="D38" s="264"/>
      <c r="E38" s="264"/>
      <c r="F38" s="268"/>
      <c r="G38" s="203"/>
      <c r="H38" s="160">
        <f t="shared" si="4"/>
        <v>0</v>
      </c>
      <c r="I38" s="272"/>
    </row>
    <row r="39" spans="1:9" ht="15.9" customHeight="1">
      <c r="A39" s="530"/>
      <c r="B39" s="193"/>
      <c r="C39" s="200"/>
      <c r="D39" s="264"/>
      <c r="E39" s="264"/>
      <c r="F39" s="268"/>
      <c r="G39" s="203"/>
      <c r="H39" s="160">
        <f t="shared" si="4"/>
        <v>0</v>
      </c>
      <c r="I39" s="272"/>
    </row>
    <row r="40" spans="1:9" ht="15.9" customHeight="1">
      <c r="A40" s="530"/>
      <c r="B40" s="193"/>
      <c r="C40" s="200"/>
      <c r="D40" s="264"/>
      <c r="E40" s="264"/>
      <c r="F40" s="268"/>
      <c r="G40" s="203"/>
      <c r="H40" s="160">
        <f t="shared" si="4"/>
        <v>0</v>
      </c>
      <c r="I40" s="272"/>
    </row>
    <row r="41" spans="1:9" ht="15.9" customHeight="1">
      <c r="A41" s="530"/>
      <c r="B41" s="193"/>
      <c r="C41" s="200"/>
      <c r="D41" s="264"/>
      <c r="E41" s="264"/>
      <c r="F41" s="268"/>
      <c r="G41" s="203"/>
      <c r="H41" s="160">
        <f t="shared" si="4"/>
        <v>0</v>
      </c>
      <c r="I41" s="272"/>
    </row>
    <row r="42" spans="1:9" ht="15.9" customHeight="1">
      <c r="A42" s="530"/>
      <c r="B42" s="193"/>
      <c r="C42" s="200"/>
      <c r="D42" s="264"/>
      <c r="E42" s="264"/>
      <c r="F42" s="268"/>
      <c r="G42" s="203"/>
      <c r="H42" s="160">
        <f t="shared" si="4"/>
        <v>0</v>
      </c>
      <c r="I42" s="272"/>
    </row>
    <row r="43" spans="1:9" ht="15.9" customHeight="1">
      <c r="A43" s="530"/>
      <c r="B43" s="193"/>
      <c r="C43" s="200"/>
      <c r="D43" s="264"/>
      <c r="E43" s="264"/>
      <c r="F43" s="268"/>
      <c r="G43" s="203"/>
      <c r="H43" s="160">
        <f t="shared" si="4"/>
        <v>0</v>
      </c>
      <c r="I43" s="272"/>
    </row>
    <row r="44" spans="1:9" ht="15.9" customHeight="1">
      <c r="A44" s="530"/>
      <c r="B44" s="193"/>
      <c r="C44" s="200"/>
      <c r="D44" s="264"/>
      <c r="E44" s="264"/>
      <c r="F44" s="268"/>
      <c r="G44" s="203"/>
      <c r="H44" s="160">
        <f t="shared" si="4"/>
        <v>0</v>
      </c>
      <c r="I44" s="272"/>
    </row>
    <row r="45" spans="1:9" ht="15.9" customHeight="1">
      <c r="A45" s="530"/>
      <c r="B45" s="193"/>
      <c r="C45" s="200"/>
      <c r="D45" s="264"/>
      <c r="E45" s="264"/>
      <c r="F45" s="268"/>
      <c r="G45" s="203"/>
      <c r="H45" s="160">
        <f t="shared" si="4"/>
        <v>0</v>
      </c>
      <c r="I45" s="272"/>
    </row>
    <row r="46" spans="1:9" ht="15.9" customHeight="1">
      <c r="A46" s="530"/>
      <c r="B46" s="193"/>
      <c r="C46" s="200"/>
      <c r="D46" s="264"/>
      <c r="E46" s="264"/>
      <c r="F46" s="268"/>
      <c r="G46" s="203"/>
      <c r="H46" s="160">
        <f t="shared" si="4"/>
        <v>0</v>
      </c>
      <c r="I46" s="272"/>
    </row>
    <row r="47" spans="1:9" ht="15.9" customHeight="1">
      <c r="A47" s="530"/>
      <c r="B47" s="193"/>
      <c r="C47" s="200"/>
      <c r="D47" s="264"/>
      <c r="E47" s="264"/>
      <c r="F47" s="268"/>
      <c r="G47" s="203"/>
      <c r="H47" s="160">
        <f t="shared" si="4"/>
        <v>0</v>
      </c>
      <c r="I47" s="272"/>
    </row>
    <row r="48" spans="1:9" ht="15.9" customHeight="1">
      <c r="A48" s="530"/>
      <c r="B48" s="193"/>
      <c r="C48" s="200"/>
      <c r="D48" s="264"/>
      <c r="E48" s="264"/>
      <c r="F48" s="268"/>
      <c r="G48" s="203"/>
      <c r="H48" s="160">
        <f t="shared" si="4"/>
        <v>0</v>
      </c>
      <c r="I48" s="272"/>
    </row>
    <row r="49" spans="1:9" ht="15.9" customHeight="1">
      <c r="A49" s="530"/>
      <c r="B49" s="193"/>
      <c r="C49" s="200"/>
      <c r="D49" s="267"/>
      <c r="E49" s="264"/>
      <c r="F49" s="268"/>
      <c r="G49" s="203"/>
      <c r="H49" s="160">
        <f t="shared" si="4"/>
        <v>0</v>
      </c>
      <c r="I49" s="272"/>
    </row>
    <row r="50" spans="1:9" ht="15.9" customHeight="1">
      <c r="A50" s="530"/>
      <c r="B50" s="193"/>
      <c r="C50" s="204"/>
      <c r="D50" s="204"/>
      <c r="E50" s="205"/>
      <c r="F50" s="206"/>
      <c r="G50" s="207"/>
      <c r="H50" s="227">
        <f t="shared" si="4"/>
        <v>0</v>
      </c>
      <c r="I50" s="228"/>
    </row>
    <row r="51" spans="1:9" ht="15.9" customHeight="1">
      <c r="A51" s="530"/>
      <c r="B51" s="209"/>
      <c r="C51" s="239"/>
      <c r="D51" s="215"/>
      <c r="E51" s="215"/>
      <c r="F51" s="214"/>
      <c r="G51" s="214"/>
      <c r="H51" s="214">
        <f>SUM(H27:H50)</f>
        <v>0</v>
      </c>
      <c r="I51" s="215"/>
    </row>
    <row r="52" spans="1:9" ht="15.9" customHeight="1">
      <c r="A52" s="530"/>
      <c r="B52" s="236" t="s">
        <v>49</v>
      </c>
      <c r="C52" s="200"/>
      <c r="D52" s="264"/>
      <c r="E52" s="264"/>
      <c r="F52" s="268"/>
      <c r="G52" s="203"/>
      <c r="H52" s="160">
        <f t="shared" si="4"/>
        <v>0</v>
      </c>
      <c r="I52" s="222"/>
    </row>
    <row r="53" spans="1:9" ht="15.9" customHeight="1">
      <c r="A53" s="530"/>
      <c r="B53" s="193"/>
      <c r="C53" s="200"/>
      <c r="D53" s="264"/>
      <c r="E53" s="264"/>
      <c r="F53" s="268"/>
      <c r="G53" s="203"/>
      <c r="H53" s="160">
        <f t="shared" si="4"/>
        <v>0</v>
      </c>
      <c r="I53" s="25"/>
    </row>
    <row r="54" spans="1:9" ht="15.9" customHeight="1">
      <c r="A54" s="530"/>
      <c r="B54" s="193"/>
      <c r="C54" s="200"/>
      <c r="D54" s="200"/>
      <c r="E54" s="201"/>
      <c r="F54" s="202"/>
      <c r="G54" s="203"/>
      <c r="H54" s="160">
        <f t="shared" si="4"/>
        <v>0</v>
      </c>
      <c r="I54" s="25"/>
    </row>
    <row r="55" spans="1:9" ht="15.9" customHeight="1">
      <c r="A55" s="530"/>
      <c r="B55" s="193"/>
      <c r="C55" s="200"/>
      <c r="D55" s="200"/>
      <c r="E55" s="201"/>
      <c r="F55" s="202"/>
      <c r="G55" s="203"/>
      <c r="H55" s="160">
        <f t="shared" si="4"/>
        <v>0</v>
      </c>
      <c r="I55" s="25"/>
    </row>
    <row r="56" spans="1:9" ht="15.9" customHeight="1">
      <c r="A56" s="530"/>
      <c r="B56" s="193"/>
      <c r="C56" s="200"/>
      <c r="D56" s="264"/>
      <c r="E56" s="264"/>
      <c r="F56" s="268"/>
      <c r="G56" s="203"/>
      <c r="H56" s="160">
        <f t="shared" si="4"/>
        <v>0</v>
      </c>
      <c r="I56" s="25"/>
    </row>
    <row r="57" spans="1:9" ht="15.9" customHeight="1">
      <c r="A57" s="530"/>
      <c r="B57" s="193"/>
      <c r="C57" s="200"/>
      <c r="D57" s="264"/>
      <c r="E57" s="264"/>
      <c r="F57" s="203"/>
      <c r="G57" s="203"/>
      <c r="H57" s="160">
        <f t="shared" si="4"/>
        <v>0</v>
      </c>
      <c r="I57" s="25"/>
    </row>
    <row r="58" spans="1:9" ht="15.9" customHeight="1">
      <c r="A58" s="530"/>
      <c r="B58" s="193"/>
      <c r="C58" s="204"/>
      <c r="D58" s="204"/>
      <c r="E58" s="204"/>
      <c r="F58" s="207"/>
      <c r="G58" s="207"/>
      <c r="H58" s="161">
        <f t="shared" si="4"/>
        <v>0</v>
      </c>
      <c r="I58" s="208"/>
    </row>
    <row r="59" spans="1:9" ht="15.9" customHeight="1">
      <c r="A59" s="530"/>
      <c r="B59" s="209"/>
      <c r="C59" s="210"/>
      <c r="D59" s="211"/>
      <c r="E59" s="211"/>
      <c r="F59" s="213"/>
      <c r="G59" s="213"/>
      <c r="H59" s="214">
        <f>SUM(H52:H58)</f>
        <v>0</v>
      </c>
      <c r="I59" s="215"/>
    </row>
    <row r="60" spans="1:9" ht="15.9" customHeight="1">
      <c r="A60" s="237"/>
      <c r="B60" s="238" t="s">
        <v>129</v>
      </c>
      <c r="C60" s="239"/>
      <c r="D60" s="215"/>
      <c r="E60" s="215"/>
      <c r="F60" s="241"/>
      <c r="G60" s="241"/>
      <c r="H60" s="214">
        <f>SUM(H59,H51,H26,H20)</f>
        <v>0</v>
      </c>
      <c r="I60" s="215"/>
    </row>
    <row r="61" spans="1:9" ht="15.9" customHeight="1">
      <c r="A61" s="526" t="s">
        <v>130</v>
      </c>
      <c r="B61" s="242" t="s">
        <v>55</v>
      </c>
      <c r="C61" s="239"/>
      <c r="D61" s="215"/>
      <c r="E61" s="243" t="s">
        <v>56</v>
      </c>
      <c r="F61" s="273"/>
      <c r="G61" s="245"/>
      <c r="H61" s="246">
        <f>F61*G61</f>
        <v>0</v>
      </c>
      <c r="I61" s="215"/>
    </row>
    <row r="62" spans="1:9" ht="15.9" customHeight="1">
      <c r="A62" s="530"/>
      <c r="B62" s="247" t="s">
        <v>148</v>
      </c>
      <c r="C62" s="248"/>
      <c r="D62" s="222"/>
      <c r="E62" s="249" t="s">
        <v>132</v>
      </c>
      <c r="F62" s="219"/>
      <c r="G62" s="220"/>
      <c r="H62" s="221">
        <f t="shared" ref="H62:H68" si="5">F62*G62</f>
        <v>0</v>
      </c>
      <c r="I62" s="222"/>
    </row>
    <row r="63" spans="1:9" ht="15.9" customHeight="1">
      <c r="A63" s="530"/>
      <c r="B63" s="250" t="s">
        <v>149</v>
      </c>
      <c r="C63" s="251"/>
      <c r="D63" s="25"/>
      <c r="E63" s="252" t="s">
        <v>132</v>
      </c>
      <c r="F63" s="268"/>
      <c r="G63" s="203"/>
      <c r="H63" s="160">
        <f t="shared" si="5"/>
        <v>0</v>
      </c>
      <c r="I63" s="25"/>
    </row>
    <row r="64" spans="1:9" ht="15.9" customHeight="1">
      <c r="A64" s="530"/>
      <c r="B64" s="250" t="s">
        <v>150</v>
      </c>
      <c r="C64" s="251"/>
      <c r="D64" s="25"/>
      <c r="E64" s="252" t="s">
        <v>132</v>
      </c>
      <c r="F64" s="268"/>
      <c r="G64" s="203"/>
      <c r="H64" s="160">
        <f t="shared" si="5"/>
        <v>0</v>
      </c>
      <c r="I64" s="25"/>
    </row>
    <row r="65" spans="1:9" ht="15.9" customHeight="1">
      <c r="A65" s="530"/>
      <c r="B65" s="250" t="s">
        <v>151</v>
      </c>
      <c r="C65" s="251"/>
      <c r="D65" s="25"/>
      <c r="E65" s="252" t="s">
        <v>132</v>
      </c>
      <c r="F65" s="275"/>
      <c r="G65" s="203"/>
      <c r="H65" s="160">
        <f t="shared" si="5"/>
        <v>0</v>
      </c>
      <c r="I65" s="25"/>
    </row>
    <row r="66" spans="1:9" ht="15.9" customHeight="1">
      <c r="A66" s="530"/>
      <c r="B66" s="250" t="s">
        <v>152</v>
      </c>
      <c r="C66" s="251"/>
      <c r="D66" s="25"/>
      <c r="E66" s="252"/>
      <c r="F66" s="275"/>
      <c r="G66" s="203"/>
      <c r="H66" s="160">
        <f t="shared" si="5"/>
        <v>0</v>
      </c>
      <c r="I66" s="25"/>
    </row>
    <row r="67" spans="1:9" ht="15.9" customHeight="1">
      <c r="A67" s="530"/>
      <c r="B67" s="250" t="s">
        <v>153</v>
      </c>
      <c r="C67" s="251"/>
      <c r="D67" s="25"/>
      <c r="E67" s="252"/>
      <c r="F67" s="275"/>
      <c r="G67" s="203"/>
      <c r="H67" s="160">
        <f t="shared" si="5"/>
        <v>0</v>
      </c>
      <c r="I67" s="25"/>
    </row>
    <row r="68" spans="1:9" ht="15.9" customHeight="1">
      <c r="A68" s="530"/>
      <c r="B68" s="276" t="s">
        <v>154</v>
      </c>
      <c r="C68" s="254"/>
      <c r="D68" s="208"/>
      <c r="E68" s="255" t="s">
        <v>56</v>
      </c>
      <c r="F68" s="277"/>
      <c r="G68" s="207"/>
      <c r="H68" s="161">
        <f t="shared" si="5"/>
        <v>0</v>
      </c>
      <c r="I68" s="208"/>
    </row>
    <row r="69" spans="1:9" ht="15.9" customHeight="1">
      <c r="A69" s="237"/>
      <c r="B69" s="256" t="s">
        <v>138</v>
      </c>
      <c r="C69" s="239"/>
      <c r="D69" s="215"/>
      <c r="E69" s="215"/>
      <c r="F69" s="214"/>
      <c r="G69" s="214"/>
      <c r="H69" s="214">
        <f>SUM(H61:H68)</f>
        <v>0</v>
      </c>
      <c r="I69" s="211"/>
    </row>
    <row r="70" spans="1:9" ht="15.9" customHeight="1">
      <c r="A70" s="243"/>
      <c r="B70" s="256" t="s">
        <v>155</v>
      </c>
      <c r="C70" s="239"/>
      <c r="D70" s="215"/>
      <c r="E70" s="191" t="s">
        <v>47</v>
      </c>
      <c r="F70" s="214"/>
      <c r="G70" s="214"/>
      <c r="H70" s="241">
        <f>'단위공사별(집계)'!L7+'단위공사별(집계)'!I7</f>
        <v>0</v>
      </c>
      <c r="I70" s="215"/>
    </row>
    <row r="71" spans="1:9" ht="15.9" customHeight="1">
      <c r="A71" s="243"/>
      <c r="B71" s="256" t="s">
        <v>80</v>
      </c>
      <c r="C71" s="239"/>
      <c r="D71" s="215"/>
      <c r="E71" s="191"/>
      <c r="F71" s="214"/>
      <c r="G71" s="258"/>
      <c r="H71" s="259"/>
      <c r="I71" s="239"/>
    </row>
    <row r="72" spans="1:9" ht="15.9" customHeight="1">
      <c r="A72" s="243"/>
      <c r="B72" s="256" t="s">
        <v>141</v>
      </c>
      <c r="C72" s="239"/>
      <c r="D72" s="215"/>
      <c r="E72" s="191"/>
      <c r="F72" s="214"/>
      <c r="G72" s="258"/>
      <c r="H72" s="259"/>
      <c r="I72" s="239"/>
    </row>
    <row r="73" spans="1:9" ht="15.9" customHeight="1">
      <c r="A73" s="243"/>
      <c r="B73" s="256" t="s">
        <v>142</v>
      </c>
      <c r="C73" s="239"/>
      <c r="D73" s="215"/>
      <c r="E73" s="215"/>
      <c r="F73" s="214"/>
      <c r="G73" s="214"/>
      <c r="H73" s="213">
        <f>H60+H69+H70+H71+H72</f>
        <v>0</v>
      </c>
      <c r="I73" s="215"/>
    </row>
    <row r="74" spans="1:9">
      <c r="A74" s="121"/>
    </row>
  </sheetData>
  <mergeCells count="4">
    <mergeCell ref="A2:B2"/>
    <mergeCell ref="A3:A59"/>
    <mergeCell ref="A61:A68"/>
    <mergeCell ref="C1:D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0"/>
    <pageSetUpPr fitToPage="1"/>
  </sheetPr>
  <dimension ref="A1:I64"/>
  <sheetViews>
    <sheetView zoomScale="120" zoomScaleNormal="120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C1" sqref="C1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/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/>
      <c r="D3" s="264"/>
      <c r="E3" s="201"/>
      <c r="F3" s="202"/>
      <c r="G3" s="203"/>
      <c r="H3" s="160">
        <f>IF(F3=0,G3,G3*F3)</f>
        <v>0</v>
      </c>
      <c r="I3" s="116"/>
    </row>
    <row r="4" spans="1:9" ht="15.9" customHeight="1">
      <c r="A4" s="527"/>
      <c r="B4" s="193"/>
      <c r="C4" s="200"/>
      <c r="D4" s="264"/>
      <c r="E4" s="201"/>
      <c r="F4" s="202"/>
      <c r="G4" s="203"/>
      <c r="H4" s="160">
        <f>F4*G4</f>
        <v>0</v>
      </c>
      <c r="I4" s="272"/>
    </row>
    <row r="5" spans="1:9" ht="15.9" customHeight="1">
      <c r="A5" s="530"/>
      <c r="B5" s="193"/>
      <c r="C5" s="267"/>
      <c r="D5" s="267"/>
      <c r="E5" s="201"/>
      <c r="F5" s="202"/>
      <c r="G5" s="269"/>
      <c r="H5" s="160">
        <f>F5*G5</f>
        <v>0</v>
      </c>
      <c r="I5" s="272"/>
    </row>
    <row r="6" spans="1:9" ht="15.9" customHeight="1">
      <c r="A6" s="530"/>
      <c r="B6" s="193"/>
      <c r="C6" s="267"/>
      <c r="D6" s="267"/>
      <c r="E6" s="201"/>
      <c r="F6" s="202"/>
      <c r="G6" s="269"/>
      <c r="H6" s="160">
        <f t="shared" ref="H6:H7" si="0">F6*G6</f>
        <v>0</v>
      </c>
      <c r="I6" s="272"/>
    </row>
    <row r="7" spans="1:9" ht="15.9" customHeight="1">
      <c r="A7" s="530"/>
      <c r="B7" s="193"/>
      <c r="C7" s="267"/>
      <c r="D7" s="267"/>
      <c r="E7" s="201"/>
      <c r="F7" s="268"/>
      <c r="G7" s="269"/>
      <c r="H7" s="160">
        <f t="shared" si="0"/>
        <v>0</v>
      </c>
      <c r="I7" s="272"/>
    </row>
    <row r="8" spans="1:9" ht="15.9" customHeight="1">
      <c r="A8" s="530"/>
      <c r="B8" s="193"/>
      <c r="C8" s="267"/>
      <c r="D8" s="267"/>
      <c r="E8" s="201"/>
      <c r="F8" s="268"/>
      <c r="G8" s="269"/>
      <c r="H8" s="160">
        <f t="shared" ref="H8:H48" si="1">IF(F8=0,G8,G8*F8)</f>
        <v>0</v>
      </c>
      <c r="I8" s="272"/>
    </row>
    <row r="9" spans="1:9" ht="15.9" customHeight="1">
      <c r="A9" s="530"/>
      <c r="B9" s="193"/>
      <c r="C9" s="267"/>
      <c r="D9" s="267"/>
      <c r="E9" s="201"/>
      <c r="F9" s="268"/>
      <c r="G9" s="269"/>
      <c r="H9" s="160">
        <f t="shared" si="1"/>
        <v>0</v>
      </c>
      <c r="I9" s="25"/>
    </row>
    <row r="10" spans="1:9" ht="15.9" customHeight="1">
      <c r="A10" s="530"/>
      <c r="B10" s="193"/>
      <c r="C10" s="267"/>
      <c r="D10" s="267"/>
      <c r="E10" s="201"/>
      <c r="F10" s="268"/>
      <c r="G10" s="269"/>
      <c r="H10" s="160">
        <f t="shared" si="1"/>
        <v>0</v>
      </c>
      <c r="I10" s="25"/>
    </row>
    <row r="11" spans="1:9" ht="15.9" customHeight="1">
      <c r="A11" s="530"/>
      <c r="B11" s="193"/>
      <c r="C11" s="200"/>
      <c r="D11" s="200"/>
      <c r="E11" s="201"/>
      <c r="F11" s="202"/>
      <c r="G11" s="203"/>
      <c r="H11" s="160">
        <f t="shared" si="1"/>
        <v>0</v>
      </c>
      <c r="I11" s="25"/>
    </row>
    <row r="12" spans="1:9" ht="15.9" customHeight="1">
      <c r="A12" s="530"/>
      <c r="B12" s="193"/>
      <c r="C12" s="200"/>
      <c r="D12" s="200"/>
      <c r="E12" s="201"/>
      <c r="F12" s="202"/>
      <c r="G12" s="203"/>
      <c r="H12" s="160">
        <f t="shared" si="1"/>
        <v>0</v>
      </c>
      <c r="I12" s="25"/>
    </row>
    <row r="13" spans="1:9" ht="15.9" customHeight="1">
      <c r="A13" s="530"/>
      <c r="B13" s="193"/>
      <c r="C13" s="200"/>
      <c r="D13" s="200"/>
      <c r="E13" s="201"/>
      <c r="F13" s="202"/>
      <c r="G13" s="203"/>
      <c r="H13" s="160">
        <f t="shared" si="1"/>
        <v>0</v>
      </c>
      <c r="I13" s="25"/>
    </row>
    <row r="14" spans="1:9" ht="15.9" customHeight="1">
      <c r="A14" s="530"/>
      <c r="B14" s="193"/>
      <c r="C14" s="200"/>
      <c r="D14" s="200"/>
      <c r="E14" s="201"/>
      <c r="F14" s="268"/>
      <c r="G14" s="203"/>
      <c r="H14" s="160">
        <f t="shared" si="1"/>
        <v>0</v>
      </c>
      <c r="I14" s="25"/>
    </row>
    <row r="15" spans="1:9" ht="15.9" customHeight="1">
      <c r="A15" s="530"/>
      <c r="B15" s="193"/>
      <c r="C15" s="200"/>
      <c r="D15" s="200"/>
      <c r="E15" s="200"/>
      <c r="F15" s="203"/>
      <c r="G15" s="203"/>
      <c r="H15" s="160">
        <f t="shared" si="1"/>
        <v>0</v>
      </c>
      <c r="I15" s="25"/>
    </row>
    <row r="16" spans="1:9" ht="15.9" customHeight="1">
      <c r="A16" s="530"/>
      <c r="B16" s="193"/>
      <c r="C16" s="200"/>
      <c r="D16" s="200"/>
      <c r="E16" s="200"/>
      <c r="F16" s="203"/>
      <c r="G16" s="203"/>
      <c r="H16" s="160">
        <f t="shared" si="1"/>
        <v>0</v>
      </c>
      <c r="I16" s="25"/>
    </row>
    <row r="17" spans="1:9" ht="15.9" customHeight="1">
      <c r="A17" s="530"/>
      <c r="B17" s="193"/>
      <c r="C17" s="200"/>
      <c r="D17" s="200"/>
      <c r="E17" s="200"/>
      <c r="F17" s="203"/>
      <c r="G17" s="203"/>
      <c r="H17" s="160">
        <f t="shared" si="1"/>
        <v>0</v>
      </c>
      <c r="I17" s="25"/>
    </row>
    <row r="18" spans="1:9" ht="15.9" customHeight="1">
      <c r="A18" s="530"/>
      <c r="B18" s="193"/>
      <c r="C18" s="204"/>
      <c r="D18" s="205"/>
      <c r="E18" s="205"/>
      <c r="F18" s="206"/>
      <c r="G18" s="207"/>
      <c r="H18" s="227">
        <f t="shared" si="1"/>
        <v>0</v>
      </c>
      <c r="I18" s="228"/>
    </row>
    <row r="19" spans="1:9" ht="15.9" customHeight="1">
      <c r="A19" s="530"/>
      <c r="B19" s="209"/>
      <c r="C19" s="235"/>
      <c r="D19" s="235"/>
      <c r="E19" s="235"/>
      <c r="F19" s="233"/>
      <c r="G19" s="233"/>
      <c r="H19" s="234">
        <f>SUM(H3:H18)</f>
        <v>0</v>
      </c>
      <c r="I19" s="235"/>
    </row>
    <row r="20" spans="1:9" ht="15.9" customHeight="1">
      <c r="A20" s="530"/>
      <c r="B20" s="193" t="s">
        <v>144</v>
      </c>
      <c r="C20" s="194"/>
      <c r="D20" s="194"/>
      <c r="E20" s="195"/>
      <c r="F20" s="196"/>
      <c r="G20" s="197"/>
      <c r="H20" s="198">
        <f t="shared" si="1"/>
        <v>0</v>
      </c>
      <c r="I20" s="199"/>
    </row>
    <row r="21" spans="1:9" ht="15.9" customHeight="1">
      <c r="A21" s="530"/>
      <c r="B21" s="193" t="s">
        <v>145</v>
      </c>
      <c r="C21" s="200"/>
      <c r="D21" s="200"/>
      <c r="E21" s="200"/>
      <c r="F21" s="203"/>
      <c r="G21" s="203"/>
      <c r="H21" s="160">
        <f t="shared" si="1"/>
        <v>0</v>
      </c>
      <c r="I21" s="25"/>
    </row>
    <row r="22" spans="1:9" ht="15.9" customHeight="1">
      <c r="A22" s="530"/>
      <c r="B22" s="193"/>
      <c r="C22" s="200"/>
      <c r="D22" s="200"/>
      <c r="E22" s="200"/>
      <c r="F22" s="203"/>
      <c r="G22" s="203"/>
      <c r="H22" s="160">
        <f t="shared" si="1"/>
        <v>0</v>
      </c>
      <c r="I22" s="25"/>
    </row>
    <row r="23" spans="1:9" ht="15.9" customHeight="1">
      <c r="A23" s="530"/>
      <c r="B23" s="193"/>
      <c r="C23" s="200"/>
      <c r="D23" s="200"/>
      <c r="E23" s="200"/>
      <c r="F23" s="203"/>
      <c r="G23" s="203"/>
      <c r="H23" s="160">
        <f t="shared" si="1"/>
        <v>0</v>
      </c>
      <c r="I23" s="25"/>
    </row>
    <row r="24" spans="1:9" ht="15.9" customHeight="1">
      <c r="A24" s="530"/>
      <c r="B24" s="193"/>
      <c r="C24" s="204"/>
      <c r="D24" s="204"/>
      <c r="E24" s="204"/>
      <c r="F24" s="207"/>
      <c r="G24" s="207"/>
      <c r="H24" s="160">
        <f t="shared" si="1"/>
        <v>0</v>
      </c>
      <c r="I24" s="208"/>
    </row>
    <row r="25" spans="1:9" ht="15.9" customHeight="1">
      <c r="A25" s="530"/>
      <c r="B25" s="209"/>
      <c r="C25" s="210"/>
      <c r="D25" s="211"/>
      <c r="E25" s="211"/>
      <c r="F25" s="270"/>
      <c r="G25" s="213"/>
      <c r="H25" s="214">
        <f>SUM(H20:H24)</f>
        <v>0</v>
      </c>
      <c r="I25" s="215"/>
    </row>
    <row r="26" spans="1:9" ht="15.9" customHeight="1">
      <c r="A26" s="530"/>
      <c r="B26" s="236" t="s">
        <v>146</v>
      </c>
      <c r="C26" s="267"/>
      <c r="D26" s="264"/>
      <c r="E26" s="264"/>
      <c r="F26" s="271"/>
      <c r="G26" s="269"/>
      <c r="H26" s="168">
        <f t="shared" ref="H26:H30" si="2">IF(F26=0,G26,G26*F26)</f>
        <v>0</v>
      </c>
      <c r="I26" s="20"/>
    </row>
    <row r="27" spans="1:9" ht="15.9" customHeight="1">
      <c r="A27" s="530"/>
      <c r="B27" s="193" t="s">
        <v>147</v>
      </c>
      <c r="C27" s="323"/>
      <c r="D27" s="264"/>
      <c r="E27" s="264"/>
      <c r="F27" s="271"/>
      <c r="G27" s="269"/>
      <c r="H27" s="160">
        <f t="shared" si="2"/>
        <v>0</v>
      </c>
      <c r="I27" s="272"/>
    </row>
    <row r="28" spans="1:9" ht="15.9" customHeight="1">
      <c r="A28" s="530"/>
      <c r="B28" s="193"/>
      <c r="C28" s="267"/>
      <c r="D28" s="264"/>
      <c r="E28" s="264"/>
      <c r="F28" s="271"/>
      <c r="G28" s="269"/>
      <c r="H28" s="160">
        <f t="shared" si="2"/>
        <v>0</v>
      </c>
      <c r="I28" s="272"/>
    </row>
    <row r="29" spans="1:9" ht="15.9" customHeight="1">
      <c r="A29" s="530"/>
      <c r="B29" s="193"/>
      <c r="C29" s="267"/>
      <c r="D29" s="264"/>
      <c r="E29" s="264"/>
      <c r="F29" s="271"/>
      <c r="G29" s="269"/>
      <c r="H29" s="160">
        <f t="shared" si="2"/>
        <v>0</v>
      </c>
      <c r="I29" s="272"/>
    </row>
    <row r="30" spans="1:9" ht="15.9" customHeight="1">
      <c r="A30" s="530"/>
      <c r="B30" s="193"/>
      <c r="C30" s="267"/>
      <c r="D30" s="264"/>
      <c r="E30" s="264"/>
      <c r="F30" s="271"/>
      <c r="G30" s="269"/>
      <c r="H30" s="160">
        <f t="shared" si="2"/>
        <v>0</v>
      </c>
      <c r="I30" s="272"/>
    </row>
    <row r="31" spans="1:9" ht="15.9" customHeight="1">
      <c r="A31" s="530"/>
      <c r="B31" s="193"/>
      <c r="C31" s="200"/>
      <c r="D31" s="264"/>
      <c r="E31" s="264"/>
      <c r="F31" s="268"/>
      <c r="G31" s="203"/>
      <c r="H31" s="160">
        <f t="shared" ref="H31:H40" si="3">IF(F31=0,G31,G31*F31)</f>
        <v>0</v>
      </c>
      <c r="I31" s="272"/>
    </row>
    <row r="32" spans="1:9" ht="15.9" customHeight="1">
      <c r="A32" s="530"/>
      <c r="B32" s="193"/>
      <c r="C32" s="200"/>
      <c r="D32" s="264"/>
      <c r="E32" s="264"/>
      <c r="F32" s="271"/>
      <c r="G32" s="203"/>
      <c r="H32" s="160">
        <f t="shared" si="3"/>
        <v>0</v>
      </c>
      <c r="I32" s="272"/>
    </row>
    <row r="33" spans="1:9" ht="15.9" customHeight="1">
      <c r="A33" s="530"/>
      <c r="B33" s="193"/>
      <c r="C33" s="200"/>
      <c r="D33" s="264"/>
      <c r="E33" s="264"/>
      <c r="F33" s="268"/>
      <c r="G33" s="203"/>
      <c r="H33" s="160">
        <f t="shared" si="3"/>
        <v>0</v>
      </c>
      <c r="I33" s="272"/>
    </row>
    <row r="34" spans="1:9" ht="15.9" customHeight="1">
      <c r="A34" s="530"/>
      <c r="B34" s="193"/>
      <c r="C34" s="200"/>
      <c r="D34" s="264"/>
      <c r="E34" s="264"/>
      <c r="F34" s="268"/>
      <c r="G34" s="203"/>
      <c r="H34" s="160">
        <f t="shared" si="3"/>
        <v>0</v>
      </c>
      <c r="I34" s="272"/>
    </row>
    <row r="35" spans="1:9" ht="15.9" customHeight="1">
      <c r="A35" s="530"/>
      <c r="B35" s="193"/>
      <c r="C35" s="200"/>
      <c r="D35" s="264"/>
      <c r="E35" s="264"/>
      <c r="F35" s="268"/>
      <c r="G35" s="203"/>
      <c r="H35" s="160">
        <f t="shared" si="3"/>
        <v>0</v>
      </c>
      <c r="I35" s="272"/>
    </row>
    <row r="36" spans="1:9" ht="15.9" customHeight="1">
      <c r="A36" s="530"/>
      <c r="B36" s="193"/>
      <c r="C36" s="200"/>
      <c r="D36" s="264"/>
      <c r="E36" s="264"/>
      <c r="F36" s="268"/>
      <c r="G36" s="203"/>
      <c r="H36" s="160">
        <f t="shared" si="3"/>
        <v>0</v>
      </c>
      <c r="I36" s="272"/>
    </row>
    <row r="37" spans="1:9" ht="15.9" customHeight="1">
      <c r="A37" s="530"/>
      <c r="B37" s="193"/>
      <c r="C37" s="200"/>
      <c r="D37" s="264"/>
      <c r="E37" s="264"/>
      <c r="F37" s="268"/>
      <c r="G37" s="203"/>
      <c r="H37" s="160">
        <f t="shared" si="3"/>
        <v>0</v>
      </c>
      <c r="I37" s="272"/>
    </row>
    <row r="38" spans="1:9" ht="15.9" customHeight="1">
      <c r="A38" s="530"/>
      <c r="B38" s="193"/>
      <c r="C38" s="200"/>
      <c r="D38" s="267"/>
      <c r="E38" s="264"/>
      <c r="F38" s="268"/>
      <c r="G38" s="203"/>
      <c r="H38" s="160">
        <f t="shared" si="3"/>
        <v>0</v>
      </c>
      <c r="I38" s="25"/>
    </row>
    <row r="39" spans="1:9" ht="15.9" customHeight="1">
      <c r="A39" s="530"/>
      <c r="B39" s="193"/>
      <c r="C39" s="200"/>
      <c r="D39" s="267"/>
      <c r="E39" s="264"/>
      <c r="F39" s="268"/>
      <c r="G39" s="203"/>
      <c r="H39" s="160">
        <f t="shared" si="3"/>
        <v>0</v>
      </c>
      <c r="I39" s="25"/>
    </row>
    <row r="40" spans="1:9" ht="15.9" customHeight="1">
      <c r="A40" s="530"/>
      <c r="B40" s="193"/>
      <c r="C40" s="200"/>
      <c r="D40" s="267"/>
      <c r="E40" s="264"/>
      <c r="F40" s="268"/>
      <c r="G40" s="203"/>
      <c r="H40" s="160">
        <f t="shared" si="3"/>
        <v>0</v>
      </c>
      <c r="I40" s="25"/>
    </row>
    <row r="41" spans="1:9" ht="15.9" customHeight="1">
      <c r="A41" s="530"/>
      <c r="B41" s="209"/>
      <c r="C41" s="239"/>
      <c r="D41" s="215"/>
      <c r="E41" s="215"/>
      <c r="F41" s="214"/>
      <c r="G41" s="214"/>
      <c r="H41" s="214">
        <f>SUM(H26:H40)</f>
        <v>0</v>
      </c>
      <c r="I41" s="215"/>
    </row>
    <row r="42" spans="1:9" ht="15.9" customHeight="1">
      <c r="A42" s="530"/>
      <c r="B42" s="236" t="s">
        <v>49</v>
      </c>
      <c r="C42" s="217"/>
      <c r="D42" s="307"/>
      <c r="E42" s="307"/>
      <c r="F42" s="308"/>
      <c r="G42" s="220"/>
      <c r="H42" s="160">
        <f>IF(F42=0,G42,G42*F42)</f>
        <v>0</v>
      </c>
      <c r="I42" s="222"/>
    </row>
    <row r="43" spans="1:9" ht="15.9" customHeight="1">
      <c r="A43" s="530"/>
      <c r="B43" s="193"/>
      <c r="C43" s="200"/>
      <c r="D43" s="264"/>
      <c r="E43" s="264"/>
      <c r="F43" s="268"/>
      <c r="G43" s="203"/>
      <c r="H43" s="160">
        <f>IF(F43=0,G43,G43*F43)</f>
        <v>0</v>
      </c>
      <c r="I43" s="25"/>
    </row>
    <row r="44" spans="1:9" ht="15.9" customHeight="1">
      <c r="A44" s="530"/>
      <c r="B44" s="193"/>
      <c r="C44" s="200"/>
      <c r="D44" s="200"/>
      <c r="E44" s="201"/>
      <c r="F44" s="202"/>
      <c r="G44" s="203"/>
      <c r="H44" s="160">
        <f t="shared" si="1"/>
        <v>0</v>
      </c>
      <c r="I44" s="25"/>
    </row>
    <row r="45" spans="1:9" ht="15.9" customHeight="1">
      <c r="A45" s="530"/>
      <c r="B45" s="193"/>
      <c r="C45" s="200"/>
      <c r="D45" s="200"/>
      <c r="E45" s="201"/>
      <c r="F45" s="202"/>
      <c r="G45" s="203"/>
      <c r="H45" s="160">
        <f t="shared" si="1"/>
        <v>0</v>
      </c>
      <c r="I45" s="25"/>
    </row>
    <row r="46" spans="1:9" ht="15.9" customHeight="1">
      <c r="A46" s="530"/>
      <c r="B46" s="193"/>
      <c r="C46" s="200"/>
      <c r="D46" s="264"/>
      <c r="E46" s="264"/>
      <c r="F46" s="268"/>
      <c r="G46" s="203"/>
      <c r="H46" s="160">
        <f t="shared" si="1"/>
        <v>0</v>
      </c>
      <c r="I46" s="25"/>
    </row>
    <row r="47" spans="1:9" ht="15.9" customHeight="1">
      <c r="A47" s="530"/>
      <c r="B47" s="193"/>
      <c r="C47" s="200"/>
      <c r="D47" s="200"/>
      <c r="E47" s="201"/>
      <c r="F47" s="202"/>
      <c r="G47" s="203"/>
      <c r="H47" s="160">
        <f t="shared" si="1"/>
        <v>0</v>
      </c>
      <c r="I47" s="25"/>
    </row>
    <row r="48" spans="1:9" ht="15.9" customHeight="1">
      <c r="A48" s="530"/>
      <c r="B48" s="193"/>
      <c r="C48" s="204"/>
      <c r="D48" s="204"/>
      <c r="E48" s="204"/>
      <c r="F48" s="207"/>
      <c r="G48" s="207"/>
      <c r="H48" s="161">
        <f t="shared" si="1"/>
        <v>0</v>
      </c>
      <c r="I48" s="208"/>
    </row>
    <row r="49" spans="1:9" ht="15.9" customHeight="1">
      <c r="A49" s="530"/>
      <c r="B49" s="209"/>
      <c r="C49" s="210"/>
      <c r="D49" s="211"/>
      <c r="E49" s="211"/>
      <c r="F49" s="213"/>
      <c r="G49" s="213"/>
      <c r="H49" s="214">
        <f>SUM(H42:H48)</f>
        <v>0</v>
      </c>
      <c r="I49" s="215"/>
    </row>
    <row r="50" spans="1:9" ht="15.9" customHeight="1">
      <c r="A50" s="237"/>
      <c r="B50" s="279" t="s">
        <v>129</v>
      </c>
      <c r="C50" s="280"/>
      <c r="D50" s="265"/>
      <c r="E50" s="265"/>
      <c r="F50" s="241"/>
      <c r="G50" s="241"/>
      <c r="H50" s="241">
        <f>SUM(H49,H41,H25,H19)</f>
        <v>0</v>
      </c>
      <c r="I50" s="265"/>
    </row>
    <row r="51" spans="1:9" ht="15.9" customHeight="1">
      <c r="A51" s="531" t="s">
        <v>130</v>
      </c>
      <c r="B51" s="247" t="s">
        <v>55</v>
      </c>
      <c r="C51" s="248"/>
      <c r="D51" s="222"/>
      <c r="E51" s="247" t="s">
        <v>56</v>
      </c>
      <c r="F51" s="274"/>
      <c r="G51" s="220"/>
      <c r="H51" s="221">
        <f>F51*G51</f>
        <v>0</v>
      </c>
      <c r="I51" s="222"/>
    </row>
    <row r="52" spans="1:9" ht="15.9" customHeight="1">
      <c r="A52" s="530"/>
      <c r="B52" s="250" t="s">
        <v>148</v>
      </c>
      <c r="C52" s="251"/>
      <c r="D52" s="25"/>
      <c r="E52" s="250" t="s">
        <v>132</v>
      </c>
      <c r="F52" s="275"/>
      <c r="G52" s="203"/>
      <c r="H52" s="160">
        <f t="shared" ref="H52:H58" si="4">F52*G52</f>
        <v>0</v>
      </c>
      <c r="I52" s="25"/>
    </row>
    <row r="53" spans="1:9" ht="15.9" customHeight="1">
      <c r="A53" s="530"/>
      <c r="B53" s="281" t="s">
        <v>149</v>
      </c>
      <c r="C53" s="251"/>
      <c r="D53" s="25"/>
      <c r="E53" s="250" t="s">
        <v>132</v>
      </c>
      <c r="F53" s="275"/>
      <c r="G53" s="203"/>
      <c r="H53" s="160">
        <f t="shared" si="4"/>
        <v>0</v>
      </c>
      <c r="I53" s="25"/>
    </row>
    <row r="54" spans="1:9" ht="15.9" customHeight="1">
      <c r="A54" s="530"/>
      <c r="B54" s="250" t="s">
        <v>150</v>
      </c>
      <c r="C54" s="251"/>
      <c r="D54" s="25"/>
      <c r="E54" s="250" t="s">
        <v>132</v>
      </c>
      <c r="F54" s="275"/>
      <c r="G54" s="203"/>
      <c r="H54" s="160">
        <f t="shared" si="4"/>
        <v>0</v>
      </c>
      <c r="I54" s="25"/>
    </row>
    <row r="55" spans="1:9" ht="15.9" customHeight="1">
      <c r="A55" s="530"/>
      <c r="B55" s="250" t="s">
        <v>151</v>
      </c>
      <c r="C55" s="251"/>
      <c r="D55" s="25"/>
      <c r="E55" s="250" t="s">
        <v>132</v>
      </c>
      <c r="F55" s="275"/>
      <c r="G55" s="203"/>
      <c r="H55" s="160">
        <f t="shared" si="4"/>
        <v>0</v>
      </c>
      <c r="I55" s="25"/>
    </row>
    <row r="56" spans="1:9" ht="15.9" customHeight="1">
      <c r="A56" s="530"/>
      <c r="B56" s="250" t="s">
        <v>152</v>
      </c>
      <c r="C56" s="251"/>
      <c r="D56" s="25"/>
      <c r="E56" s="250" t="s">
        <v>132</v>
      </c>
      <c r="F56" s="275"/>
      <c r="G56" s="203"/>
      <c r="H56" s="160">
        <f t="shared" si="4"/>
        <v>0</v>
      </c>
      <c r="I56" s="25"/>
    </row>
    <row r="57" spans="1:9" ht="15.9" customHeight="1">
      <c r="A57" s="530"/>
      <c r="B57" s="282" t="s">
        <v>156</v>
      </c>
      <c r="C57" s="251"/>
      <c r="D57" s="25"/>
      <c r="E57" s="250" t="s">
        <v>132</v>
      </c>
      <c r="F57" s="275"/>
      <c r="G57" s="203"/>
      <c r="H57" s="160">
        <f t="shared" si="4"/>
        <v>0</v>
      </c>
      <c r="I57" s="25"/>
    </row>
    <row r="58" spans="1:9" ht="15.9" customHeight="1">
      <c r="A58" s="530"/>
      <c r="B58" s="283" t="s">
        <v>154</v>
      </c>
      <c r="C58" s="284"/>
      <c r="D58" s="228"/>
      <c r="E58" s="285" t="s">
        <v>132</v>
      </c>
      <c r="F58" s="286"/>
      <c r="G58" s="226"/>
      <c r="H58" s="227">
        <f t="shared" si="4"/>
        <v>0</v>
      </c>
      <c r="I58" s="228"/>
    </row>
    <row r="59" spans="1:9" ht="15.9" customHeight="1">
      <c r="A59" s="237"/>
      <c r="B59" s="256" t="s">
        <v>138</v>
      </c>
      <c r="C59" s="239"/>
      <c r="D59" s="215"/>
      <c r="E59" s="215"/>
      <c r="F59" s="214"/>
      <c r="G59" s="214"/>
      <c r="H59" s="214">
        <f>SUM(H51:H58)</f>
        <v>0</v>
      </c>
      <c r="I59" s="215"/>
    </row>
    <row r="60" spans="1:9" ht="15.9" customHeight="1">
      <c r="A60" s="243"/>
      <c r="B60" s="256" t="s">
        <v>155</v>
      </c>
      <c r="C60" s="239"/>
      <c r="D60" s="215"/>
      <c r="E60" s="215"/>
      <c r="F60" s="214"/>
      <c r="G60" s="214"/>
      <c r="H60" s="241">
        <f>'단위공사별(집계)'!L8+'단위공사별(집계)'!I8</f>
        <v>0</v>
      </c>
      <c r="I60" s="215"/>
    </row>
    <row r="61" spans="1:9" ht="15.9" customHeight="1">
      <c r="A61" s="243"/>
      <c r="B61" s="256" t="s">
        <v>80</v>
      </c>
      <c r="C61" s="239"/>
      <c r="D61" s="215"/>
      <c r="E61" s="215"/>
      <c r="F61" s="214"/>
      <c r="G61" s="258"/>
      <c r="H61" s="259"/>
      <c r="I61" s="239"/>
    </row>
    <row r="62" spans="1:9" ht="15.9" customHeight="1">
      <c r="A62" s="243"/>
      <c r="B62" s="256" t="s">
        <v>141</v>
      </c>
      <c r="C62" s="239"/>
      <c r="D62" s="215"/>
      <c r="E62" s="215"/>
      <c r="F62" s="214"/>
      <c r="G62" s="258"/>
      <c r="H62" s="259"/>
      <c r="I62" s="239"/>
    </row>
    <row r="63" spans="1:9" ht="15.9" customHeight="1">
      <c r="A63" s="243"/>
      <c r="B63" s="256" t="s">
        <v>142</v>
      </c>
      <c r="C63" s="239"/>
      <c r="D63" s="215"/>
      <c r="E63" s="215"/>
      <c r="F63" s="214"/>
      <c r="G63" s="214"/>
      <c r="H63" s="213">
        <f>H50+H59+H60+H61+H62</f>
        <v>0</v>
      </c>
      <c r="I63" s="215"/>
    </row>
    <row r="64" spans="1:9">
      <c r="A64" s="121"/>
    </row>
  </sheetData>
  <mergeCells count="3">
    <mergeCell ref="A2:B2"/>
    <mergeCell ref="A3:A49"/>
    <mergeCell ref="A51:A5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I66"/>
  <sheetViews>
    <sheetView zoomScale="115" zoomScaleNormal="115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K41" sqref="K41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/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17"/>
      <c r="D3" s="217"/>
      <c r="E3" s="217"/>
      <c r="F3" s="220"/>
      <c r="G3" s="220"/>
      <c r="H3" s="221">
        <f>IF(F3=0,G3,G3*F3)</f>
        <v>0</v>
      </c>
      <c r="I3" s="222"/>
    </row>
    <row r="4" spans="1:9" ht="15.9" customHeight="1">
      <c r="A4" s="530"/>
      <c r="B4" s="193"/>
      <c r="C4" s="200"/>
      <c r="D4" s="200"/>
      <c r="E4" s="200"/>
      <c r="F4" s="203"/>
      <c r="G4" s="203"/>
      <c r="H4" s="160">
        <f>IF(F4=0,G4,G4*F4)</f>
        <v>0</v>
      </c>
      <c r="I4" s="25"/>
    </row>
    <row r="5" spans="1:9" ht="15.9" customHeight="1">
      <c r="A5" s="530"/>
      <c r="B5" s="193"/>
      <c r="C5" s="200"/>
      <c r="D5" s="200"/>
      <c r="E5" s="200"/>
      <c r="F5" s="203"/>
      <c r="G5" s="203"/>
      <c r="H5" s="160">
        <f t="shared" ref="H5:H50" si="0">IF(F5=0,G5,G5*F5)</f>
        <v>0</v>
      </c>
      <c r="I5" s="25"/>
    </row>
    <row r="6" spans="1:9" ht="15.9" customHeight="1">
      <c r="A6" s="530"/>
      <c r="B6" s="193"/>
      <c r="C6" s="200"/>
      <c r="D6" s="200"/>
      <c r="E6" s="200"/>
      <c r="F6" s="203"/>
      <c r="G6" s="203"/>
      <c r="H6" s="160">
        <f t="shared" si="0"/>
        <v>0</v>
      </c>
      <c r="I6" s="25"/>
    </row>
    <row r="7" spans="1:9" ht="15.9" customHeight="1">
      <c r="A7" s="530"/>
      <c r="B7" s="193"/>
      <c r="C7" s="200"/>
      <c r="D7" s="200"/>
      <c r="E7" s="200"/>
      <c r="F7" s="203"/>
      <c r="G7" s="203"/>
      <c r="H7" s="160">
        <f t="shared" si="0"/>
        <v>0</v>
      </c>
      <c r="I7" s="25"/>
    </row>
    <row r="8" spans="1:9" ht="15.9" customHeight="1">
      <c r="A8" s="530"/>
      <c r="B8" s="193"/>
      <c r="C8" s="200"/>
      <c r="D8" s="200"/>
      <c r="E8" s="200"/>
      <c r="F8" s="203"/>
      <c r="G8" s="203"/>
      <c r="H8" s="160">
        <f t="shared" si="0"/>
        <v>0</v>
      </c>
      <c r="I8" s="25"/>
    </row>
    <row r="9" spans="1:9" ht="15.9" customHeight="1">
      <c r="A9" s="530"/>
      <c r="B9" s="193"/>
      <c r="C9" s="200"/>
      <c r="D9" s="200"/>
      <c r="E9" s="200"/>
      <c r="F9" s="203"/>
      <c r="G9" s="203"/>
      <c r="H9" s="160">
        <f t="shared" si="0"/>
        <v>0</v>
      </c>
      <c r="I9" s="25"/>
    </row>
    <row r="10" spans="1:9" ht="15.9" customHeight="1">
      <c r="A10" s="530"/>
      <c r="B10" s="193"/>
      <c r="C10" s="200"/>
      <c r="D10" s="200"/>
      <c r="E10" s="200"/>
      <c r="F10" s="203"/>
      <c r="G10" s="203"/>
      <c r="H10" s="160">
        <f t="shared" si="0"/>
        <v>0</v>
      </c>
      <c r="I10" s="25"/>
    </row>
    <row r="11" spans="1:9" ht="15.9" customHeight="1">
      <c r="A11" s="530"/>
      <c r="B11" s="193"/>
      <c r="C11" s="200"/>
      <c r="D11" s="200"/>
      <c r="E11" s="200"/>
      <c r="F11" s="203"/>
      <c r="G11" s="203"/>
      <c r="H11" s="160">
        <f t="shared" si="0"/>
        <v>0</v>
      </c>
      <c r="I11" s="25"/>
    </row>
    <row r="12" spans="1:9" ht="15.9" customHeight="1">
      <c r="A12" s="530"/>
      <c r="B12" s="193"/>
      <c r="C12" s="200"/>
      <c r="D12" s="200"/>
      <c r="E12" s="200"/>
      <c r="F12" s="203"/>
      <c r="G12" s="203"/>
      <c r="H12" s="160">
        <f t="shared" si="0"/>
        <v>0</v>
      </c>
      <c r="I12" s="25"/>
    </row>
    <row r="13" spans="1:9" ht="15.9" customHeight="1">
      <c r="A13" s="530"/>
      <c r="B13" s="193"/>
      <c r="C13" s="200"/>
      <c r="D13" s="200"/>
      <c r="E13" s="200"/>
      <c r="F13" s="203"/>
      <c r="G13" s="203"/>
      <c r="H13" s="160">
        <f t="shared" si="0"/>
        <v>0</v>
      </c>
      <c r="I13" s="25"/>
    </row>
    <row r="14" spans="1:9" ht="15.9" customHeight="1">
      <c r="A14" s="530"/>
      <c r="B14" s="193"/>
      <c r="C14" s="200"/>
      <c r="D14" s="200"/>
      <c r="E14" s="200"/>
      <c r="F14" s="203"/>
      <c r="G14" s="203"/>
      <c r="H14" s="160">
        <f t="shared" si="0"/>
        <v>0</v>
      </c>
      <c r="I14" s="25"/>
    </row>
    <row r="15" spans="1:9" ht="15.9" customHeight="1">
      <c r="A15" s="530"/>
      <c r="B15" s="193"/>
      <c r="C15" s="200"/>
      <c r="D15" s="200"/>
      <c r="E15" s="200"/>
      <c r="F15" s="203"/>
      <c r="G15" s="203"/>
      <c r="H15" s="160">
        <f t="shared" si="0"/>
        <v>0</v>
      </c>
      <c r="I15" s="25"/>
    </row>
    <row r="16" spans="1:9" ht="15.9" customHeight="1">
      <c r="A16" s="530"/>
      <c r="B16" s="193"/>
      <c r="C16" s="200"/>
      <c r="D16" s="200"/>
      <c r="E16" s="200"/>
      <c r="F16" s="203"/>
      <c r="G16" s="203"/>
      <c r="H16" s="160">
        <f t="shared" si="0"/>
        <v>0</v>
      </c>
      <c r="I16" s="25"/>
    </row>
    <row r="17" spans="1:9" ht="15.9" customHeight="1">
      <c r="A17" s="530"/>
      <c r="B17" s="193"/>
      <c r="C17" s="200"/>
      <c r="D17" s="200"/>
      <c r="E17" s="200"/>
      <c r="F17" s="203"/>
      <c r="G17" s="203"/>
      <c r="H17" s="160">
        <f t="shared" si="0"/>
        <v>0</v>
      </c>
      <c r="I17" s="25"/>
    </row>
    <row r="18" spans="1:9" ht="15.9" customHeight="1">
      <c r="A18" s="530"/>
      <c r="B18" s="193"/>
      <c r="C18" s="200"/>
      <c r="D18" s="200"/>
      <c r="E18" s="200"/>
      <c r="F18" s="203"/>
      <c r="G18" s="203"/>
      <c r="H18" s="160">
        <f t="shared" si="0"/>
        <v>0</v>
      </c>
      <c r="I18" s="25"/>
    </row>
    <row r="19" spans="1:9" ht="15.9" customHeight="1">
      <c r="A19" s="530"/>
      <c r="B19" s="193"/>
      <c r="C19" s="204" t="s">
        <v>126</v>
      </c>
      <c r="D19" s="224"/>
      <c r="E19" s="224"/>
      <c r="F19" s="226"/>
      <c r="G19" s="226"/>
      <c r="H19" s="227">
        <f t="shared" si="0"/>
        <v>0</v>
      </c>
      <c r="I19" s="228"/>
    </row>
    <row r="20" spans="1:9" ht="15.9" customHeight="1">
      <c r="A20" s="530"/>
      <c r="B20" s="209"/>
      <c r="C20" s="235"/>
      <c r="D20" s="235"/>
      <c r="E20" s="235"/>
      <c r="F20" s="233"/>
      <c r="G20" s="233"/>
      <c r="H20" s="234">
        <f>SUM(H3:H19)</f>
        <v>0</v>
      </c>
      <c r="I20" s="235"/>
    </row>
    <row r="21" spans="1:9" ht="15.9" customHeight="1">
      <c r="A21" s="530"/>
      <c r="B21" s="193" t="s">
        <v>144</v>
      </c>
      <c r="C21" s="194"/>
      <c r="D21" s="194"/>
      <c r="E21" s="194"/>
      <c r="F21" s="197"/>
      <c r="G21" s="197"/>
      <c r="H21" s="198">
        <f t="shared" si="0"/>
        <v>0</v>
      </c>
      <c r="I21" s="199"/>
    </row>
    <row r="22" spans="1:9" ht="15.9" customHeight="1">
      <c r="A22" s="530"/>
      <c r="B22" s="193" t="s">
        <v>145</v>
      </c>
      <c r="C22" s="200"/>
      <c r="D22" s="200"/>
      <c r="E22" s="200"/>
      <c r="F22" s="203"/>
      <c r="G22" s="203"/>
      <c r="H22" s="160">
        <f t="shared" si="0"/>
        <v>0</v>
      </c>
      <c r="I22" s="25"/>
    </row>
    <row r="23" spans="1:9" ht="15.9" customHeight="1">
      <c r="A23" s="530"/>
      <c r="B23" s="193"/>
      <c r="C23" s="200"/>
      <c r="D23" s="200"/>
      <c r="E23" s="200"/>
      <c r="F23" s="203"/>
      <c r="G23" s="203"/>
      <c r="H23" s="160">
        <f t="shared" si="0"/>
        <v>0</v>
      </c>
      <c r="I23" s="25"/>
    </row>
    <row r="24" spans="1:9" ht="15.9" customHeight="1">
      <c r="A24" s="530"/>
      <c r="B24" s="193"/>
      <c r="C24" s="200"/>
      <c r="D24" s="200"/>
      <c r="E24" s="200"/>
      <c r="F24" s="203"/>
      <c r="G24" s="203"/>
      <c r="H24" s="160">
        <f t="shared" si="0"/>
        <v>0</v>
      </c>
      <c r="I24" s="25"/>
    </row>
    <row r="25" spans="1:9" ht="15.9" customHeight="1">
      <c r="A25" s="530"/>
      <c r="B25" s="193"/>
      <c r="C25" s="204" t="s">
        <v>126</v>
      </c>
      <c r="D25" s="204"/>
      <c r="E25" s="204"/>
      <c r="F25" s="207"/>
      <c r="G25" s="207"/>
      <c r="H25" s="160">
        <f t="shared" si="0"/>
        <v>0</v>
      </c>
      <c r="I25" s="208"/>
    </row>
    <row r="26" spans="1:9" ht="15.9" customHeight="1">
      <c r="A26" s="530"/>
      <c r="B26" s="209"/>
      <c r="C26" s="210"/>
      <c r="D26" s="211"/>
      <c r="E26" s="211"/>
      <c r="F26" s="270"/>
      <c r="G26" s="213"/>
      <c r="H26" s="214">
        <f>SUM(H21:H25)</f>
        <v>0</v>
      </c>
      <c r="I26" s="215"/>
    </row>
    <row r="27" spans="1:9" ht="15.9" customHeight="1">
      <c r="A27" s="530"/>
      <c r="B27" s="236" t="s">
        <v>146</v>
      </c>
      <c r="C27" s="267"/>
      <c r="D27" s="267"/>
      <c r="E27" s="264"/>
      <c r="F27" s="271"/>
      <c r="G27" s="269"/>
      <c r="H27" s="221">
        <f t="shared" si="0"/>
        <v>0</v>
      </c>
      <c r="I27" s="222"/>
    </row>
    <row r="28" spans="1:9" ht="15.9" customHeight="1">
      <c r="A28" s="530"/>
      <c r="B28" s="193" t="s">
        <v>147</v>
      </c>
      <c r="C28" s="267"/>
      <c r="D28" s="267"/>
      <c r="E28" s="264"/>
      <c r="F28" s="271"/>
      <c r="G28" s="269"/>
      <c r="H28" s="160">
        <f t="shared" si="0"/>
        <v>0</v>
      </c>
      <c r="I28" s="25"/>
    </row>
    <row r="29" spans="1:9" ht="15.9" customHeight="1">
      <c r="A29" s="530"/>
      <c r="B29" s="193"/>
      <c r="C29" s="267"/>
      <c r="D29" s="267"/>
      <c r="E29" s="264"/>
      <c r="F29" s="271"/>
      <c r="G29" s="269"/>
      <c r="H29" s="160">
        <f t="shared" si="0"/>
        <v>0</v>
      </c>
      <c r="I29" s="25"/>
    </row>
    <row r="30" spans="1:9" ht="15.9" customHeight="1">
      <c r="A30" s="530"/>
      <c r="B30" s="193"/>
      <c r="C30" s="267"/>
      <c r="D30" s="267"/>
      <c r="E30" s="264"/>
      <c r="F30" s="271"/>
      <c r="G30" s="269"/>
      <c r="H30" s="160">
        <f t="shared" si="0"/>
        <v>0</v>
      </c>
      <c r="I30" s="25"/>
    </row>
    <row r="31" spans="1:9" ht="15.9" customHeight="1">
      <c r="A31" s="530"/>
      <c r="B31" s="193"/>
      <c r="C31" s="267"/>
      <c r="D31" s="267"/>
      <c r="E31" s="264"/>
      <c r="F31" s="271"/>
      <c r="G31" s="269"/>
      <c r="H31" s="160">
        <f t="shared" si="0"/>
        <v>0</v>
      </c>
      <c r="I31" s="25"/>
    </row>
    <row r="32" spans="1:9" ht="15.9" customHeight="1">
      <c r="A32" s="530"/>
      <c r="B32" s="193"/>
      <c r="C32" s="267"/>
      <c r="D32" s="267"/>
      <c r="E32" s="264"/>
      <c r="F32" s="271"/>
      <c r="G32" s="269"/>
      <c r="H32" s="160">
        <f t="shared" si="0"/>
        <v>0</v>
      </c>
      <c r="I32" s="25"/>
    </row>
    <row r="33" spans="1:9" ht="15.9" customHeight="1">
      <c r="A33" s="530"/>
      <c r="B33" s="193"/>
      <c r="C33" s="200"/>
      <c r="D33" s="200"/>
      <c r="E33" s="200"/>
      <c r="F33" s="203"/>
      <c r="G33" s="203"/>
      <c r="H33" s="160">
        <f t="shared" si="0"/>
        <v>0</v>
      </c>
      <c r="I33" s="25"/>
    </row>
    <row r="34" spans="1:9" ht="15.9" customHeight="1">
      <c r="A34" s="530"/>
      <c r="B34" s="193"/>
      <c r="C34" s="200"/>
      <c r="D34" s="200"/>
      <c r="E34" s="200"/>
      <c r="F34" s="203"/>
      <c r="G34" s="203"/>
      <c r="H34" s="160">
        <f t="shared" si="0"/>
        <v>0</v>
      </c>
      <c r="I34" s="25"/>
    </row>
    <row r="35" spans="1:9" ht="15.9" customHeight="1">
      <c r="A35" s="530"/>
      <c r="B35" s="193"/>
      <c r="C35" s="200"/>
      <c r="D35" s="200"/>
      <c r="E35" s="200"/>
      <c r="F35" s="203"/>
      <c r="G35" s="203"/>
      <c r="H35" s="160">
        <f t="shared" si="0"/>
        <v>0</v>
      </c>
      <c r="I35" s="25"/>
    </row>
    <row r="36" spans="1:9" ht="15.9" customHeight="1">
      <c r="A36" s="530"/>
      <c r="B36" s="193"/>
      <c r="C36" s="200"/>
      <c r="D36" s="200"/>
      <c r="E36" s="200"/>
      <c r="F36" s="203"/>
      <c r="G36" s="203"/>
      <c r="H36" s="160">
        <f t="shared" si="0"/>
        <v>0</v>
      </c>
      <c r="I36" s="25"/>
    </row>
    <row r="37" spans="1:9" ht="15.9" customHeight="1">
      <c r="A37" s="530"/>
      <c r="B37" s="193"/>
      <c r="C37" s="200"/>
      <c r="D37" s="200"/>
      <c r="E37" s="200"/>
      <c r="F37" s="203"/>
      <c r="G37" s="203"/>
      <c r="H37" s="160">
        <f t="shared" si="0"/>
        <v>0</v>
      </c>
      <c r="I37" s="25"/>
    </row>
    <row r="38" spans="1:9" ht="15.9" customHeight="1">
      <c r="A38" s="530"/>
      <c r="B38" s="193"/>
      <c r="C38" s="200"/>
      <c r="D38" s="200"/>
      <c r="E38" s="200"/>
      <c r="F38" s="203"/>
      <c r="G38" s="203"/>
      <c r="H38" s="160">
        <f t="shared" si="0"/>
        <v>0</v>
      </c>
      <c r="I38" s="25"/>
    </row>
    <row r="39" spans="1:9" ht="15.9" customHeight="1">
      <c r="A39" s="530"/>
      <c r="B39" s="193"/>
      <c r="C39" s="200"/>
      <c r="D39" s="200"/>
      <c r="E39" s="200"/>
      <c r="F39" s="203"/>
      <c r="G39" s="203"/>
      <c r="H39" s="160">
        <f t="shared" si="0"/>
        <v>0</v>
      </c>
      <c r="I39" s="25"/>
    </row>
    <row r="40" spans="1:9" ht="15.9" customHeight="1">
      <c r="A40" s="530"/>
      <c r="B40" s="193"/>
      <c r="C40" s="200"/>
      <c r="D40" s="200"/>
      <c r="E40" s="200"/>
      <c r="F40" s="203"/>
      <c r="G40" s="203"/>
      <c r="H40" s="160">
        <f t="shared" si="0"/>
        <v>0</v>
      </c>
      <c r="I40" s="25"/>
    </row>
    <row r="41" spans="1:9" ht="15.9" customHeight="1">
      <c r="A41" s="530"/>
      <c r="B41" s="193"/>
      <c r="C41" s="200"/>
      <c r="D41" s="200"/>
      <c r="E41" s="200"/>
      <c r="F41" s="203"/>
      <c r="G41" s="203"/>
      <c r="H41" s="160">
        <f t="shared" si="0"/>
        <v>0</v>
      </c>
      <c r="I41" s="25"/>
    </row>
    <row r="42" spans="1:9" ht="15.9" customHeight="1">
      <c r="A42" s="530"/>
      <c r="B42" s="193"/>
      <c r="C42" s="204" t="s">
        <v>126</v>
      </c>
      <c r="D42" s="204"/>
      <c r="E42" s="204"/>
      <c r="F42" s="207"/>
      <c r="G42" s="207"/>
      <c r="H42" s="161">
        <f t="shared" si="0"/>
        <v>0</v>
      </c>
      <c r="I42" s="208"/>
    </row>
    <row r="43" spans="1:9" ht="15.9" customHeight="1">
      <c r="A43" s="530"/>
      <c r="B43" s="209"/>
      <c r="C43" s="210"/>
      <c r="D43" s="211"/>
      <c r="E43" s="211"/>
      <c r="F43" s="213"/>
      <c r="G43" s="213"/>
      <c r="H43" s="214">
        <f>SUM(H27:H42)</f>
        <v>0</v>
      </c>
      <c r="I43" s="215"/>
    </row>
    <row r="44" spans="1:9" ht="15.9" customHeight="1">
      <c r="A44" s="530"/>
      <c r="B44" s="236" t="s">
        <v>49</v>
      </c>
      <c r="C44" s="217"/>
      <c r="D44" s="217"/>
      <c r="E44" s="217"/>
      <c r="F44" s="220"/>
      <c r="G44" s="220"/>
      <c r="H44" s="221">
        <f t="shared" si="0"/>
        <v>0</v>
      </c>
      <c r="I44" s="222"/>
    </row>
    <row r="45" spans="1:9" ht="15.9" customHeight="1">
      <c r="A45" s="530"/>
      <c r="B45" s="193"/>
      <c r="C45" s="200"/>
      <c r="D45" s="200"/>
      <c r="E45" s="200"/>
      <c r="F45" s="203"/>
      <c r="G45" s="203"/>
      <c r="H45" s="160">
        <f t="shared" si="0"/>
        <v>0</v>
      </c>
      <c r="I45" s="25"/>
    </row>
    <row r="46" spans="1:9" ht="15.9" customHeight="1">
      <c r="A46" s="530"/>
      <c r="B46" s="193"/>
      <c r="C46" s="200"/>
      <c r="D46" s="200"/>
      <c r="E46" s="200"/>
      <c r="F46" s="203"/>
      <c r="G46" s="203"/>
      <c r="H46" s="160">
        <f t="shared" si="0"/>
        <v>0</v>
      </c>
      <c r="I46" s="25"/>
    </row>
    <row r="47" spans="1:9" ht="15.9" customHeight="1">
      <c r="A47" s="530"/>
      <c r="B47" s="193"/>
      <c r="C47" s="200"/>
      <c r="D47" s="200"/>
      <c r="E47" s="200"/>
      <c r="F47" s="203"/>
      <c r="G47" s="203"/>
      <c r="H47" s="160">
        <f t="shared" si="0"/>
        <v>0</v>
      </c>
      <c r="I47" s="25"/>
    </row>
    <row r="48" spans="1:9" ht="15.9" customHeight="1">
      <c r="A48" s="530"/>
      <c r="B48" s="193"/>
      <c r="C48" s="200"/>
      <c r="D48" s="200"/>
      <c r="E48" s="200"/>
      <c r="F48" s="203"/>
      <c r="G48" s="203"/>
      <c r="H48" s="160">
        <f t="shared" si="0"/>
        <v>0</v>
      </c>
      <c r="I48" s="25"/>
    </row>
    <row r="49" spans="1:9" ht="15.9" customHeight="1">
      <c r="A49" s="530"/>
      <c r="B49" s="193"/>
      <c r="C49" s="200"/>
      <c r="D49" s="200"/>
      <c r="E49" s="200"/>
      <c r="F49" s="203"/>
      <c r="G49" s="203"/>
      <c r="H49" s="160">
        <f t="shared" si="0"/>
        <v>0</v>
      </c>
      <c r="I49" s="25"/>
    </row>
    <row r="50" spans="1:9" ht="15.9" customHeight="1">
      <c r="A50" s="530"/>
      <c r="B50" s="193"/>
      <c r="C50" s="204" t="s">
        <v>126</v>
      </c>
      <c r="D50" s="204"/>
      <c r="E50" s="204"/>
      <c r="F50" s="207"/>
      <c r="G50" s="207"/>
      <c r="H50" s="161">
        <f t="shared" si="0"/>
        <v>0</v>
      </c>
      <c r="I50" s="208"/>
    </row>
    <row r="51" spans="1:9" ht="15.9" customHeight="1">
      <c r="A51" s="530"/>
      <c r="B51" s="209"/>
      <c r="C51" s="210"/>
      <c r="D51" s="211"/>
      <c r="E51" s="211"/>
      <c r="F51" s="213"/>
      <c r="G51" s="213"/>
      <c r="H51" s="214">
        <f>SUM(H44:H50)</f>
        <v>0</v>
      </c>
      <c r="I51" s="215"/>
    </row>
    <row r="52" spans="1:9" ht="15.9" customHeight="1">
      <c r="A52" s="237"/>
      <c r="B52" s="238" t="s">
        <v>129</v>
      </c>
      <c r="C52" s="239"/>
      <c r="D52" s="215"/>
      <c r="E52" s="215"/>
      <c r="F52" s="241"/>
      <c r="G52" s="241"/>
      <c r="H52" s="214">
        <f>SUM(H51,H43,H26,H20)</f>
        <v>0</v>
      </c>
      <c r="I52" s="215"/>
    </row>
    <row r="53" spans="1:9" ht="15.9" customHeight="1">
      <c r="A53" s="531" t="s">
        <v>130</v>
      </c>
      <c r="B53" s="242" t="s">
        <v>55</v>
      </c>
      <c r="C53" s="239"/>
      <c r="D53" s="215"/>
      <c r="E53" s="243" t="s">
        <v>56</v>
      </c>
      <c r="F53" s="259"/>
      <c r="G53" s="245"/>
      <c r="H53" s="246">
        <f>F53*G53</f>
        <v>0</v>
      </c>
      <c r="I53" s="215"/>
    </row>
    <row r="54" spans="1:9" ht="15.9" customHeight="1">
      <c r="A54" s="530"/>
      <c r="B54" s="247" t="s">
        <v>148</v>
      </c>
      <c r="C54" s="248"/>
      <c r="D54" s="222"/>
      <c r="E54" s="249" t="s">
        <v>132</v>
      </c>
      <c r="F54" s="274"/>
      <c r="G54" s="220"/>
      <c r="H54" s="221">
        <f t="shared" ref="H54:H60" si="1">F54*G54</f>
        <v>0</v>
      </c>
      <c r="I54" s="222"/>
    </row>
    <row r="55" spans="1:9" ht="15.9" customHeight="1">
      <c r="A55" s="530"/>
      <c r="B55" s="281" t="s">
        <v>149</v>
      </c>
      <c r="C55" s="251"/>
      <c r="D55" s="25"/>
      <c r="E55" s="252" t="s">
        <v>132</v>
      </c>
      <c r="F55" s="275"/>
      <c r="G55" s="203"/>
      <c r="H55" s="160">
        <f t="shared" si="1"/>
        <v>0</v>
      </c>
      <c r="I55" s="25"/>
    </row>
    <row r="56" spans="1:9" ht="15.9" customHeight="1">
      <c r="A56" s="530"/>
      <c r="B56" s="250" t="s">
        <v>150</v>
      </c>
      <c r="C56" s="251"/>
      <c r="D56" s="25"/>
      <c r="E56" s="252" t="s">
        <v>132</v>
      </c>
      <c r="F56" s="275"/>
      <c r="G56" s="203"/>
      <c r="H56" s="160">
        <f t="shared" si="1"/>
        <v>0</v>
      </c>
      <c r="I56" s="25"/>
    </row>
    <row r="57" spans="1:9" ht="15.9" customHeight="1">
      <c r="A57" s="530"/>
      <c r="B57" s="250" t="s">
        <v>151</v>
      </c>
      <c r="C57" s="251"/>
      <c r="D57" s="25"/>
      <c r="E57" s="252" t="s">
        <v>132</v>
      </c>
      <c r="F57" s="203"/>
      <c r="G57" s="203"/>
      <c r="H57" s="160">
        <f t="shared" si="1"/>
        <v>0</v>
      </c>
      <c r="I57" s="25"/>
    </row>
    <row r="58" spans="1:9" ht="15.9" customHeight="1">
      <c r="A58" s="530"/>
      <c r="B58" s="250" t="s">
        <v>152</v>
      </c>
      <c r="C58" s="251"/>
      <c r="D58" s="25"/>
      <c r="E58" s="252" t="s">
        <v>132</v>
      </c>
      <c r="F58" s="203"/>
      <c r="G58" s="203"/>
      <c r="H58" s="160">
        <f t="shared" si="1"/>
        <v>0</v>
      </c>
      <c r="I58" s="25"/>
    </row>
    <row r="59" spans="1:9" ht="15.9" customHeight="1">
      <c r="A59" s="530"/>
      <c r="B59" s="250" t="s">
        <v>153</v>
      </c>
      <c r="C59" s="251"/>
      <c r="D59" s="25"/>
      <c r="E59" s="252" t="s">
        <v>132</v>
      </c>
      <c r="F59" s="203"/>
      <c r="G59" s="203"/>
      <c r="H59" s="160">
        <f t="shared" si="1"/>
        <v>0</v>
      </c>
      <c r="I59" s="25"/>
    </row>
    <row r="60" spans="1:9" ht="15.9" customHeight="1">
      <c r="A60" s="530"/>
      <c r="B60" s="253" t="s">
        <v>157</v>
      </c>
      <c r="C60" s="254"/>
      <c r="D60" s="208"/>
      <c r="E60" s="255" t="s">
        <v>132</v>
      </c>
      <c r="F60" s="207"/>
      <c r="G60" s="207"/>
      <c r="H60" s="161">
        <f t="shared" si="1"/>
        <v>0</v>
      </c>
      <c r="I60" s="208"/>
    </row>
    <row r="61" spans="1:9" ht="15.9" customHeight="1">
      <c r="A61" s="237"/>
      <c r="B61" s="256" t="s">
        <v>138</v>
      </c>
      <c r="C61" s="239"/>
      <c r="D61" s="215"/>
      <c r="E61" s="215"/>
      <c r="F61" s="213"/>
      <c r="G61" s="213"/>
      <c r="H61" s="213">
        <f>SUM(H53:H60)</f>
        <v>0</v>
      </c>
      <c r="I61" s="211"/>
    </row>
    <row r="62" spans="1:9" ht="15.9" customHeight="1">
      <c r="A62" s="243"/>
      <c r="B62" s="256" t="s">
        <v>155</v>
      </c>
      <c r="C62" s="239"/>
      <c r="D62" s="215"/>
      <c r="E62" s="215"/>
      <c r="F62" s="214"/>
      <c r="G62" s="214"/>
      <c r="H62" s="241">
        <f>'단위공사별(집계)'!L14+'단위공사별(집계)'!I14</f>
        <v>0</v>
      </c>
      <c r="I62" s="215"/>
    </row>
    <row r="63" spans="1:9" ht="15.9" customHeight="1">
      <c r="A63" s="243"/>
      <c r="B63" s="256" t="s">
        <v>80</v>
      </c>
      <c r="C63" s="239"/>
      <c r="D63" s="215"/>
      <c r="E63" s="215"/>
      <c r="F63" s="214"/>
      <c r="G63" s="258"/>
      <c r="H63" s="259"/>
      <c r="I63" s="239"/>
    </row>
    <row r="64" spans="1:9" ht="15.9" customHeight="1">
      <c r="A64" s="243"/>
      <c r="B64" s="256" t="s">
        <v>141</v>
      </c>
      <c r="C64" s="239"/>
      <c r="D64" s="215"/>
      <c r="E64" s="215"/>
      <c r="F64" s="214"/>
      <c r="G64" s="258"/>
      <c r="H64" s="259"/>
      <c r="I64" s="239"/>
    </row>
    <row r="65" spans="1:9" ht="15.9" customHeight="1">
      <c r="A65" s="243"/>
      <c r="B65" s="256" t="s">
        <v>142</v>
      </c>
      <c r="C65" s="239"/>
      <c r="D65" s="215"/>
      <c r="E65" s="215"/>
      <c r="F65" s="214"/>
      <c r="G65" s="214"/>
      <c r="H65" s="213">
        <f>H52+H61+H62+H63+H64</f>
        <v>0</v>
      </c>
      <c r="I65" s="215"/>
    </row>
    <row r="66" spans="1:9">
      <c r="A66" s="121"/>
    </row>
  </sheetData>
  <mergeCells count="3">
    <mergeCell ref="A2:B2"/>
    <mergeCell ref="A3:A51"/>
    <mergeCell ref="A53:A6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pageSetUpPr fitToPage="1"/>
  </sheetPr>
  <dimension ref="A1:I67"/>
  <sheetViews>
    <sheetView zoomScale="115" zoomScaleNormal="115" workbookViewId="0">
      <pane xSplit="2" ySplit="2" topLeftCell="C3" activePane="bottomRight" state="frozen"/>
      <selection activeCell="F18" sqref="F18:F33"/>
      <selection pane="topRight" activeCell="F18" sqref="F18:F33"/>
      <selection pane="bottomLeft" activeCell="F18" sqref="F18:F33"/>
      <selection pane="bottomRight" activeCell="C1" sqref="C1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19921875" style="115" bestFit="1" customWidth="1"/>
    <col min="6" max="6" width="9" style="150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/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/>
      <c r="D3" s="264"/>
      <c r="E3" s="201"/>
      <c r="F3" s="202"/>
      <c r="G3" s="203"/>
      <c r="H3" s="221">
        <f>IF(F3=0,G3,G3*F3)</f>
        <v>0</v>
      </c>
      <c r="I3" s="272"/>
    </row>
    <row r="4" spans="1:9" ht="15.9" customHeight="1">
      <c r="A4" s="530"/>
      <c r="B4" s="193"/>
      <c r="C4" s="267"/>
      <c r="D4" s="267"/>
      <c r="E4" s="201"/>
      <c r="F4" s="202"/>
      <c r="G4" s="203"/>
      <c r="H4" s="160">
        <f>IF(F4=0,G4,G4*F4)</f>
        <v>0</v>
      </c>
      <c r="I4" s="272"/>
    </row>
    <row r="5" spans="1:9" ht="15.9" customHeight="1">
      <c r="A5" s="530"/>
      <c r="B5" s="193"/>
      <c r="C5" s="267"/>
      <c r="D5" s="267"/>
      <c r="E5" s="201"/>
      <c r="F5" s="202"/>
      <c r="G5" s="203"/>
      <c r="H5" s="160">
        <f t="shared" ref="H5:H7" si="0">IF(F5=0,G5,G5*F5)</f>
        <v>0</v>
      </c>
      <c r="I5" s="272"/>
    </row>
    <row r="6" spans="1:9" ht="15.9" customHeight="1">
      <c r="A6" s="530"/>
      <c r="B6" s="193"/>
      <c r="C6" s="267"/>
      <c r="D6" s="267"/>
      <c r="E6" s="201"/>
      <c r="F6" s="202"/>
      <c r="G6" s="203"/>
      <c r="H6" s="160">
        <f t="shared" ref="H6" si="1">IF(F6=0,G6,G6*F6)</f>
        <v>0</v>
      </c>
      <c r="I6" s="272"/>
    </row>
    <row r="7" spans="1:9" ht="15.9" customHeight="1">
      <c r="A7" s="530"/>
      <c r="B7" s="193"/>
      <c r="C7" s="267"/>
      <c r="D7" s="267"/>
      <c r="E7" s="201"/>
      <c r="F7" s="268"/>
      <c r="G7" s="269"/>
      <c r="H7" s="160">
        <f t="shared" si="0"/>
        <v>0</v>
      </c>
      <c r="I7" s="272"/>
    </row>
    <row r="8" spans="1:9" ht="15.9" customHeight="1">
      <c r="A8" s="530"/>
      <c r="B8" s="193"/>
      <c r="C8" s="267"/>
      <c r="D8" s="267"/>
      <c r="E8" s="201"/>
      <c r="F8" s="268"/>
      <c r="G8" s="269"/>
      <c r="H8" s="160">
        <f t="shared" ref="H8" si="2">IF(F8=0,G8,G8*F8)</f>
        <v>0</v>
      </c>
      <c r="I8" s="272"/>
    </row>
    <row r="9" spans="1:9" ht="15.9" customHeight="1">
      <c r="A9" s="530"/>
      <c r="B9" s="193"/>
      <c r="C9" s="200"/>
      <c r="D9" s="200"/>
      <c r="E9" s="200"/>
      <c r="F9" s="202"/>
      <c r="G9" s="203"/>
      <c r="H9" s="160">
        <f t="shared" ref="H9:H51" si="3">IF(F9=0,G9,G9*F9)</f>
        <v>0</v>
      </c>
      <c r="I9" s="25"/>
    </row>
    <row r="10" spans="1:9" ht="15.9" customHeight="1">
      <c r="A10" s="530"/>
      <c r="B10" s="193"/>
      <c r="C10" s="200"/>
      <c r="D10" s="200"/>
      <c r="E10" s="200"/>
      <c r="F10" s="202"/>
      <c r="G10" s="203"/>
      <c r="H10" s="160">
        <f t="shared" si="3"/>
        <v>0</v>
      </c>
      <c r="I10" s="25"/>
    </row>
    <row r="11" spans="1:9" ht="15.9" customHeight="1">
      <c r="A11" s="530"/>
      <c r="B11" s="193"/>
      <c r="C11" s="200"/>
      <c r="D11" s="200"/>
      <c r="E11" s="200"/>
      <c r="F11" s="202"/>
      <c r="G11" s="203"/>
      <c r="H11" s="160">
        <f t="shared" si="3"/>
        <v>0</v>
      </c>
      <c r="I11" s="25"/>
    </row>
    <row r="12" spans="1:9" ht="15.9" customHeight="1">
      <c r="A12" s="530"/>
      <c r="B12" s="193"/>
      <c r="C12" s="200"/>
      <c r="D12" s="200"/>
      <c r="E12" s="200"/>
      <c r="F12" s="202"/>
      <c r="G12" s="203"/>
      <c r="H12" s="160">
        <f t="shared" si="3"/>
        <v>0</v>
      </c>
      <c r="I12" s="25"/>
    </row>
    <row r="13" spans="1:9" ht="15.9" customHeight="1">
      <c r="A13" s="530"/>
      <c r="B13" s="193"/>
      <c r="C13" s="200"/>
      <c r="D13" s="200"/>
      <c r="E13" s="200"/>
      <c r="F13" s="203"/>
      <c r="G13" s="203"/>
      <c r="H13" s="160">
        <f t="shared" si="3"/>
        <v>0</v>
      </c>
      <c r="I13" s="25"/>
    </row>
    <row r="14" spans="1:9" ht="15.9" customHeight="1">
      <c r="A14" s="530"/>
      <c r="B14" s="193"/>
      <c r="C14" s="204"/>
      <c r="D14" s="205"/>
      <c r="E14" s="205"/>
      <c r="F14" s="206"/>
      <c r="G14" s="207"/>
      <c r="H14" s="227">
        <f t="shared" si="3"/>
        <v>0</v>
      </c>
      <c r="I14" s="228"/>
    </row>
    <row r="15" spans="1:9" ht="15.9" customHeight="1">
      <c r="A15" s="530"/>
      <c r="B15" s="209"/>
      <c r="C15" s="235"/>
      <c r="D15" s="235"/>
      <c r="E15" s="235"/>
      <c r="F15" s="233"/>
      <c r="G15" s="233"/>
      <c r="H15" s="234">
        <f>SUM(H3:H14)</f>
        <v>0</v>
      </c>
      <c r="I15" s="235"/>
    </row>
    <row r="16" spans="1:9" ht="15.9" customHeight="1">
      <c r="A16" s="530"/>
      <c r="B16" s="193" t="s">
        <v>144</v>
      </c>
      <c r="C16" s="194"/>
      <c r="D16" s="194"/>
      <c r="E16" s="195"/>
      <c r="F16" s="196"/>
      <c r="G16" s="197"/>
      <c r="H16" s="198">
        <f t="shared" si="3"/>
        <v>0</v>
      </c>
      <c r="I16" s="199"/>
    </row>
    <row r="17" spans="1:9" ht="15.9" customHeight="1">
      <c r="A17" s="530"/>
      <c r="B17" s="193" t="s">
        <v>145</v>
      </c>
      <c r="C17" s="200"/>
      <c r="D17" s="200"/>
      <c r="E17" s="200"/>
      <c r="F17" s="203"/>
      <c r="G17" s="203"/>
      <c r="H17" s="160">
        <f t="shared" si="3"/>
        <v>0</v>
      </c>
      <c r="I17" s="25"/>
    </row>
    <row r="18" spans="1:9" ht="15.9" customHeight="1">
      <c r="A18" s="530"/>
      <c r="B18" s="193"/>
      <c r="C18" s="200"/>
      <c r="D18" s="200"/>
      <c r="E18" s="200"/>
      <c r="F18" s="203"/>
      <c r="G18" s="203"/>
      <c r="H18" s="160">
        <f t="shared" si="3"/>
        <v>0</v>
      </c>
      <c r="I18" s="25"/>
    </row>
    <row r="19" spans="1:9" ht="15.9" customHeight="1">
      <c r="A19" s="530"/>
      <c r="B19" s="193"/>
      <c r="C19" s="200"/>
      <c r="D19" s="200"/>
      <c r="E19" s="200"/>
      <c r="F19" s="203"/>
      <c r="G19" s="203"/>
      <c r="H19" s="160">
        <f t="shared" si="3"/>
        <v>0</v>
      </c>
      <c r="I19" s="25"/>
    </row>
    <row r="20" spans="1:9" ht="15.9" customHeight="1">
      <c r="A20" s="530"/>
      <c r="B20" s="193"/>
      <c r="C20" s="204"/>
      <c r="D20" s="204"/>
      <c r="E20" s="204"/>
      <c r="F20" s="207"/>
      <c r="G20" s="207"/>
      <c r="H20" s="160">
        <f t="shared" si="3"/>
        <v>0</v>
      </c>
      <c r="I20" s="208"/>
    </row>
    <row r="21" spans="1:9" ht="15.9" customHeight="1">
      <c r="A21" s="530"/>
      <c r="B21" s="209"/>
      <c r="C21" s="210"/>
      <c r="D21" s="211"/>
      <c r="E21" s="211"/>
      <c r="F21" s="270"/>
      <c r="G21" s="213"/>
      <c r="H21" s="214">
        <f>SUM(H16:H20)</f>
        <v>0</v>
      </c>
      <c r="I21" s="215"/>
    </row>
    <row r="22" spans="1:9" ht="15.9" customHeight="1">
      <c r="A22" s="530"/>
      <c r="B22" s="236" t="s">
        <v>146</v>
      </c>
      <c r="C22" s="365"/>
      <c r="D22" s="365"/>
      <c r="E22" s="264"/>
      <c r="F22" s="271"/>
      <c r="G22" s="378"/>
      <c r="H22" s="160">
        <f t="shared" ref="H22:H28" si="4">IF(F22=0,G22,G22*F22)</f>
        <v>0</v>
      </c>
      <c r="I22" s="25"/>
    </row>
    <row r="23" spans="1:9" ht="15.9" customHeight="1">
      <c r="A23" s="530"/>
      <c r="B23" s="193" t="s">
        <v>147</v>
      </c>
      <c r="C23" s="365"/>
      <c r="D23" s="365"/>
      <c r="E23" s="264"/>
      <c r="F23" s="271"/>
      <c r="G23" s="378"/>
      <c r="H23" s="160">
        <f t="shared" si="4"/>
        <v>0</v>
      </c>
      <c r="I23" s="25"/>
    </row>
    <row r="24" spans="1:9" ht="15.9" customHeight="1">
      <c r="A24" s="530"/>
      <c r="B24" s="193"/>
      <c r="C24" s="365"/>
      <c r="D24" s="365"/>
      <c r="E24" s="264"/>
      <c r="F24" s="271"/>
      <c r="G24" s="378"/>
      <c r="H24" s="160">
        <f t="shared" si="4"/>
        <v>0</v>
      </c>
      <c r="I24" s="25"/>
    </row>
    <row r="25" spans="1:9" ht="15.9" customHeight="1">
      <c r="A25" s="530"/>
      <c r="B25" s="193"/>
      <c r="C25" s="365"/>
      <c r="D25" s="365"/>
      <c r="E25" s="264"/>
      <c r="F25" s="271"/>
      <c r="G25" s="378"/>
      <c r="H25" s="160">
        <f t="shared" si="4"/>
        <v>0</v>
      </c>
      <c r="I25" s="25"/>
    </row>
    <row r="26" spans="1:9" ht="15.9" customHeight="1">
      <c r="A26" s="530"/>
      <c r="B26" s="193"/>
      <c r="C26" s="365"/>
      <c r="D26" s="365"/>
      <c r="E26" s="264"/>
      <c r="F26" s="271"/>
      <c r="G26" s="378"/>
      <c r="H26" s="160">
        <f t="shared" si="4"/>
        <v>0</v>
      </c>
      <c r="I26" s="25"/>
    </row>
    <row r="27" spans="1:9" ht="15.9" customHeight="1">
      <c r="A27" s="530"/>
      <c r="B27" s="193"/>
      <c r="C27" s="365"/>
      <c r="D27" s="365"/>
      <c r="E27" s="264"/>
      <c r="F27" s="271"/>
      <c r="G27" s="378"/>
      <c r="H27" s="160">
        <f t="shared" si="4"/>
        <v>0</v>
      </c>
      <c r="I27" s="25"/>
    </row>
    <row r="28" spans="1:9" ht="15.9" customHeight="1">
      <c r="A28" s="530"/>
      <c r="B28" s="193"/>
      <c r="C28" s="365"/>
      <c r="D28" s="365"/>
      <c r="E28" s="264"/>
      <c r="F28" s="202"/>
      <c r="G28" s="378"/>
      <c r="H28" s="160">
        <f t="shared" si="4"/>
        <v>0</v>
      </c>
      <c r="I28" s="25"/>
    </row>
    <row r="29" spans="1:9" ht="15.9" customHeight="1">
      <c r="A29" s="530"/>
      <c r="B29" s="193"/>
      <c r="C29" s="267"/>
      <c r="D29" s="264"/>
      <c r="E29" s="264"/>
      <c r="F29" s="271"/>
      <c r="G29" s="269"/>
      <c r="H29" s="160">
        <f t="shared" ref="H29:H30" si="5">IF(F29=0,G29,G29*F29)</f>
        <v>0</v>
      </c>
      <c r="I29" s="272"/>
    </row>
    <row r="30" spans="1:9" ht="15.9" customHeight="1">
      <c r="A30" s="530"/>
      <c r="B30" s="193"/>
      <c r="C30" s="267"/>
      <c r="D30" s="264"/>
      <c r="E30" s="264"/>
      <c r="F30" s="271"/>
      <c r="G30" s="269"/>
      <c r="H30" s="160">
        <f t="shared" si="5"/>
        <v>0</v>
      </c>
      <c r="I30" s="272"/>
    </row>
    <row r="31" spans="1:9" ht="15.9" customHeight="1">
      <c r="A31" s="530"/>
      <c r="B31" s="193"/>
      <c r="C31" s="200"/>
      <c r="D31" s="264"/>
      <c r="E31" s="264"/>
      <c r="F31" s="268"/>
      <c r="G31" s="203"/>
      <c r="H31" s="160">
        <f t="shared" si="3"/>
        <v>0</v>
      </c>
      <c r="I31" s="272"/>
    </row>
    <row r="32" spans="1:9" ht="15.9" customHeight="1">
      <c r="A32" s="530"/>
      <c r="B32" s="193"/>
      <c r="C32" s="200"/>
      <c r="D32" s="264"/>
      <c r="E32" s="264"/>
      <c r="F32" s="271"/>
      <c r="G32" s="203"/>
      <c r="H32" s="160">
        <f t="shared" si="3"/>
        <v>0</v>
      </c>
      <c r="I32" s="272"/>
    </row>
    <row r="33" spans="1:9" ht="15.9" customHeight="1">
      <c r="A33" s="530"/>
      <c r="B33" s="193"/>
      <c r="C33" s="200"/>
      <c r="D33" s="264"/>
      <c r="E33" s="264"/>
      <c r="F33" s="268"/>
      <c r="G33" s="203"/>
      <c r="H33" s="160">
        <f t="shared" si="3"/>
        <v>0</v>
      </c>
      <c r="I33" s="272"/>
    </row>
    <row r="34" spans="1:9" ht="15.9" customHeight="1">
      <c r="A34" s="530"/>
      <c r="B34" s="193"/>
      <c r="C34" s="200"/>
      <c r="D34" s="264"/>
      <c r="E34" s="264"/>
      <c r="F34" s="268"/>
      <c r="G34" s="203"/>
      <c r="H34" s="160">
        <f t="shared" si="3"/>
        <v>0</v>
      </c>
      <c r="I34" s="272"/>
    </row>
    <row r="35" spans="1:9" ht="15.9" customHeight="1">
      <c r="A35" s="530"/>
      <c r="B35" s="193"/>
      <c r="C35" s="200"/>
      <c r="D35" s="264"/>
      <c r="E35" s="264"/>
      <c r="F35" s="268"/>
      <c r="G35" s="203"/>
      <c r="H35" s="160">
        <f t="shared" si="3"/>
        <v>0</v>
      </c>
      <c r="I35" s="272"/>
    </row>
    <row r="36" spans="1:9" ht="15.9" customHeight="1">
      <c r="A36" s="530"/>
      <c r="B36" s="193"/>
      <c r="C36" s="200"/>
      <c r="D36" s="264"/>
      <c r="E36" s="264"/>
      <c r="F36" s="268"/>
      <c r="G36" s="203"/>
      <c r="H36" s="160">
        <f t="shared" si="3"/>
        <v>0</v>
      </c>
      <c r="I36" s="272"/>
    </row>
    <row r="37" spans="1:9" ht="15.9" customHeight="1">
      <c r="A37" s="530"/>
      <c r="B37" s="193"/>
      <c r="C37" s="200"/>
      <c r="D37" s="264"/>
      <c r="E37" s="264"/>
      <c r="F37" s="268"/>
      <c r="G37" s="203"/>
      <c r="H37" s="160">
        <f t="shared" ref="H37" si="6">IF(F37=0,G37,G37*F37)</f>
        <v>0</v>
      </c>
      <c r="I37" s="272"/>
    </row>
    <row r="38" spans="1:9" ht="15.9" customHeight="1">
      <c r="A38" s="530"/>
      <c r="B38" s="193"/>
      <c r="C38" s="224"/>
      <c r="D38" s="278"/>
      <c r="E38" s="305"/>
      <c r="F38" s="306"/>
      <c r="G38" s="226"/>
      <c r="H38" s="227"/>
      <c r="I38" s="228"/>
    </row>
    <row r="39" spans="1:9" ht="15.9" customHeight="1">
      <c r="A39" s="530"/>
      <c r="B39" s="193"/>
      <c r="C39" s="224"/>
      <c r="D39" s="278"/>
      <c r="E39" s="305"/>
      <c r="F39" s="306"/>
      <c r="G39" s="226"/>
      <c r="H39" s="227"/>
      <c r="I39" s="228"/>
    </row>
    <row r="40" spans="1:9" ht="15.9" customHeight="1">
      <c r="A40" s="530"/>
      <c r="B40" s="193"/>
      <c r="C40" s="224"/>
      <c r="D40" s="278"/>
      <c r="E40" s="305"/>
      <c r="F40" s="306"/>
      <c r="G40" s="226"/>
      <c r="H40" s="227"/>
      <c r="I40" s="228"/>
    </row>
    <row r="41" spans="1:9" ht="15.9" customHeight="1">
      <c r="A41" s="530"/>
      <c r="B41" s="193"/>
      <c r="C41" s="224"/>
      <c r="D41" s="278"/>
      <c r="E41" s="305"/>
      <c r="F41" s="306"/>
      <c r="G41" s="226"/>
      <c r="H41" s="227"/>
      <c r="I41" s="228"/>
    </row>
    <row r="42" spans="1:9" ht="15.9" customHeight="1">
      <c r="A42" s="530"/>
      <c r="B42" s="193"/>
      <c r="C42" s="224"/>
      <c r="D42" s="278"/>
      <c r="E42" s="305"/>
      <c r="F42" s="306"/>
      <c r="G42" s="226"/>
      <c r="H42" s="227"/>
      <c r="I42" s="228"/>
    </row>
    <row r="43" spans="1:9" ht="15.9" customHeight="1">
      <c r="A43" s="530"/>
      <c r="B43" s="193"/>
      <c r="C43" s="224"/>
      <c r="D43" s="278"/>
      <c r="E43" s="305"/>
      <c r="F43" s="306"/>
      <c r="G43" s="226"/>
      <c r="H43" s="227">
        <f t="shared" si="3"/>
        <v>0</v>
      </c>
      <c r="I43" s="228"/>
    </row>
    <row r="44" spans="1:9" ht="15.9" customHeight="1">
      <c r="A44" s="530"/>
      <c r="B44" s="209"/>
      <c r="C44" s="239"/>
      <c r="D44" s="215"/>
      <c r="E44" s="215"/>
      <c r="F44" s="214"/>
      <c r="G44" s="214"/>
      <c r="H44" s="214">
        <f>SUM(H22:H43)</f>
        <v>0</v>
      </c>
      <c r="I44" s="215"/>
    </row>
    <row r="45" spans="1:9" ht="15.9" customHeight="1">
      <c r="A45" s="530"/>
      <c r="B45" s="236" t="s">
        <v>49</v>
      </c>
      <c r="C45" s="200"/>
      <c r="D45" s="264"/>
      <c r="E45" s="264"/>
      <c r="F45" s="268"/>
      <c r="G45" s="203"/>
      <c r="H45" s="221">
        <f t="shared" si="3"/>
        <v>0</v>
      </c>
      <c r="I45" s="222"/>
    </row>
    <row r="46" spans="1:9" ht="15.9" customHeight="1">
      <c r="A46" s="530"/>
      <c r="B46" s="193"/>
      <c r="C46" s="200"/>
      <c r="D46" s="264"/>
      <c r="E46" s="264"/>
      <c r="F46" s="268"/>
      <c r="G46" s="203"/>
      <c r="H46" s="160">
        <f t="shared" si="3"/>
        <v>0</v>
      </c>
      <c r="I46" s="25"/>
    </row>
    <row r="47" spans="1:9" ht="15.9" customHeight="1">
      <c r="A47" s="530"/>
      <c r="B47" s="193"/>
      <c r="C47" s="200"/>
      <c r="D47" s="264"/>
      <c r="E47" s="264"/>
      <c r="F47" s="268"/>
      <c r="G47" s="203"/>
      <c r="H47" s="160"/>
      <c r="I47" s="25"/>
    </row>
    <row r="48" spans="1:9" ht="15.9" customHeight="1">
      <c r="A48" s="530"/>
      <c r="B48" s="193"/>
      <c r="C48" s="200"/>
      <c r="D48" s="264"/>
      <c r="E48" s="264"/>
      <c r="F48" s="268"/>
      <c r="G48" s="203"/>
      <c r="H48" s="160"/>
      <c r="I48" s="25"/>
    </row>
    <row r="49" spans="1:9" ht="15.9" customHeight="1">
      <c r="A49" s="530"/>
      <c r="B49" s="193"/>
      <c r="C49" s="200"/>
      <c r="D49" s="200"/>
      <c r="E49" s="201"/>
      <c r="F49" s="202"/>
      <c r="G49" s="203"/>
      <c r="H49" s="160">
        <f t="shared" si="3"/>
        <v>0</v>
      </c>
      <c r="I49" s="25"/>
    </row>
    <row r="50" spans="1:9" ht="15.9" customHeight="1">
      <c r="A50" s="530"/>
      <c r="B50" s="193"/>
      <c r="C50" s="200"/>
      <c r="D50" s="200"/>
      <c r="E50" s="201"/>
      <c r="F50" s="202"/>
      <c r="G50" s="203"/>
      <c r="H50" s="160">
        <f t="shared" si="3"/>
        <v>0</v>
      </c>
      <c r="I50" s="25"/>
    </row>
    <row r="51" spans="1:9" ht="15.9" customHeight="1">
      <c r="A51" s="530"/>
      <c r="B51" s="193"/>
      <c r="C51" s="204"/>
      <c r="D51" s="204"/>
      <c r="E51" s="204"/>
      <c r="F51" s="207"/>
      <c r="G51" s="207"/>
      <c r="H51" s="161">
        <f t="shared" si="3"/>
        <v>0</v>
      </c>
      <c r="I51" s="208"/>
    </row>
    <row r="52" spans="1:9" ht="15.9" customHeight="1">
      <c r="A52" s="530"/>
      <c r="B52" s="209"/>
      <c r="C52" s="210"/>
      <c r="D52" s="211"/>
      <c r="E52" s="211"/>
      <c r="F52" s="213"/>
      <c r="G52" s="213"/>
      <c r="H52" s="214">
        <f>SUM(H45:H51)</f>
        <v>0</v>
      </c>
      <c r="I52" s="215"/>
    </row>
    <row r="53" spans="1:9" ht="15.9" customHeight="1">
      <c r="A53" s="237"/>
      <c r="B53" s="238" t="s">
        <v>129</v>
      </c>
      <c r="C53" s="239"/>
      <c r="D53" s="215"/>
      <c r="E53" s="215"/>
      <c r="F53" s="241"/>
      <c r="G53" s="241"/>
      <c r="H53" s="214">
        <f>SUM(H52,H44,H21,H15)</f>
        <v>0</v>
      </c>
      <c r="I53" s="215"/>
    </row>
    <row r="54" spans="1:9" ht="15.9" customHeight="1">
      <c r="A54" s="531" t="s">
        <v>130</v>
      </c>
      <c r="B54" s="242" t="s">
        <v>55</v>
      </c>
      <c r="C54" s="239"/>
      <c r="D54" s="215"/>
      <c r="E54" s="242" t="s">
        <v>56</v>
      </c>
      <c r="F54" s="259"/>
      <c r="G54" s="245"/>
      <c r="H54" s="246">
        <f>F54*G54</f>
        <v>0</v>
      </c>
      <c r="I54" s="215"/>
    </row>
    <row r="55" spans="1:9" ht="15.9" customHeight="1">
      <c r="A55" s="530"/>
      <c r="B55" s="247" t="s">
        <v>148</v>
      </c>
      <c r="C55" s="287"/>
      <c r="D55" s="288"/>
      <c r="E55" s="289" t="s">
        <v>132</v>
      </c>
      <c r="F55" s="274"/>
      <c r="G55" s="220"/>
      <c r="H55" s="221">
        <f t="shared" ref="H55:H61" si="7">F55*G55</f>
        <v>0</v>
      </c>
      <c r="I55" s="222"/>
    </row>
    <row r="56" spans="1:9" ht="15.9" customHeight="1">
      <c r="A56" s="530"/>
      <c r="B56" s="281" t="s">
        <v>149</v>
      </c>
      <c r="C56" s="290"/>
      <c r="D56" s="267"/>
      <c r="E56" s="282" t="s">
        <v>132</v>
      </c>
      <c r="F56" s="275"/>
      <c r="G56" s="203"/>
      <c r="H56" s="160">
        <f t="shared" si="7"/>
        <v>0</v>
      </c>
      <c r="I56" s="25"/>
    </row>
    <row r="57" spans="1:9" ht="15.9" customHeight="1">
      <c r="A57" s="530"/>
      <c r="B57" s="250" t="s">
        <v>150</v>
      </c>
      <c r="C57" s="290"/>
      <c r="D57" s="267"/>
      <c r="E57" s="282" t="s">
        <v>132</v>
      </c>
      <c r="F57" s="275"/>
      <c r="G57" s="203"/>
      <c r="H57" s="160">
        <f t="shared" si="7"/>
        <v>0</v>
      </c>
      <c r="I57" s="25"/>
    </row>
    <row r="58" spans="1:9" ht="15.9" customHeight="1">
      <c r="A58" s="530"/>
      <c r="B58" s="250" t="s">
        <v>151</v>
      </c>
      <c r="C58" s="290"/>
      <c r="D58" s="267"/>
      <c r="E58" s="282" t="s">
        <v>132</v>
      </c>
      <c r="F58" s="275"/>
      <c r="G58" s="203"/>
      <c r="H58" s="160">
        <f t="shared" si="7"/>
        <v>0</v>
      </c>
      <c r="I58" s="25"/>
    </row>
    <row r="59" spans="1:9" ht="15.9" customHeight="1">
      <c r="A59" s="530"/>
      <c r="B59" s="250" t="s">
        <v>152</v>
      </c>
      <c r="C59" s="290"/>
      <c r="D59" s="267"/>
      <c r="E59" s="282" t="s">
        <v>132</v>
      </c>
      <c r="F59" s="275"/>
      <c r="G59" s="203"/>
      <c r="H59" s="160">
        <f t="shared" si="7"/>
        <v>0</v>
      </c>
      <c r="I59" s="25"/>
    </row>
    <row r="60" spans="1:9" ht="15.9" customHeight="1">
      <c r="A60" s="530"/>
      <c r="B60" s="250" t="s">
        <v>153</v>
      </c>
      <c r="C60" s="290"/>
      <c r="D60" s="267"/>
      <c r="E60" s="282" t="s">
        <v>132</v>
      </c>
      <c r="F60" s="291"/>
      <c r="G60" s="203"/>
      <c r="H60" s="160">
        <f t="shared" si="7"/>
        <v>0</v>
      </c>
      <c r="I60" s="25"/>
    </row>
    <row r="61" spans="1:9" ht="15.9" customHeight="1">
      <c r="A61" s="530"/>
      <c r="B61" s="253" t="s">
        <v>157</v>
      </c>
      <c r="C61" s="292"/>
      <c r="D61" s="293"/>
      <c r="E61" s="276" t="s">
        <v>132</v>
      </c>
      <c r="F61" s="294"/>
      <c r="G61" s="207"/>
      <c r="H61" s="161">
        <f t="shared" si="7"/>
        <v>0</v>
      </c>
      <c r="I61" s="208"/>
    </row>
    <row r="62" spans="1:9" ht="15.9" customHeight="1">
      <c r="A62" s="237"/>
      <c r="B62" s="256" t="s">
        <v>138</v>
      </c>
      <c r="C62" s="239"/>
      <c r="D62" s="215"/>
      <c r="E62" s="215"/>
      <c r="F62" s="213"/>
      <c r="G62" s="213"/>
      <c r="H62" s="213">
        <f>SUM(H54:H61)</f>
        <v>0</v>
      </c>
      <c r="I62" s="211"/>
    </row>
    <row r="63" spans="1:9" ht="15.9" customHeight="1">
      <c r="A63" s="243"/>
      <c r="B63" s="256" t="s">
        <v>155</v>
      </c>
      <c r="C63" s="239"/>
      <c r="D63" s="215"/>
      <c r="E63" s="215"/>
      <c r="F63" s="214"/>
      <c r="G63" s="214"/>
      <c r="H63" s="241">
        <f>'단위공사별(집계)'!L18+'단위공사별(집계)'!I18</f>
        <v>0</v>
      </c>
      <c r="I63" s="215"/>
    </row>
    <row r="64" spans="1:9" ht="15.9" customHeight="1">
      <c r="A64" s="243"/>
      <c r="B64" s="256" t="s">
        <v>80</v>
      </c>
      <c r="C64" s="239"/>
      <c r="D64" s="215"/>
      <c r="E64" s="215"/>
      <c r="F64" s="214"/>
      <c r="G64" s="258"/>
      <c r="H64" s="259"/>
      <c r="I64" s="239"/>
    </row>
    <row r="65" spans="1:9" ht="15.9" customHeight="1">
      <c r="A65" s="243"/>
      <c r="B65" s="256" t="s">
        <v>141</v>
      </c>
      <c r="C65" s="239"/>
      <c r="D65" s="215"/>
      <c r="E65" s="215"/>
      <c r="F65" s="214"/>
      <c r="G65" s="258"/>
      <c r="H65" s="259"/>
      <c r="I65" s="239"/>
    </row>
    <row r="66" spans="1:9" ht="15.9" customHeight="1">
      <c r="A66" s="243"/>
      <c r="B66" s="256" t="s">
        <v>142</v>
      </c>
      <c r="C66" s="239"/>
      <c r="D66" s="215"/>
      <c r="E66" s="215"/>
      <c r="F66" s="214"/>
      <c r="G66" s="214"/>
      <c r="H66" s="213">
        <f>H53+H62+H63+H64+H65</f>
        <v>0</v>
      </c>
      <c r="I66" s="215"/>
    </row>
    <row r="67" spans="1:9">
      <c r="A67" s="121"/>
    </row>
  </sheetData>
  <mergeCells count="3">
    <mergeCell ref="A2:B2"/>
    <mergeCell ref="A3:A52"/>
    <mergeCell ref="A54:A6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pageSetUpPr fitToPage="1"/>
  </sheetPr>
  <dimension ref="A1:I60"/>
  <sheetViews>
    <sheetView zoomScaleNormal="100" workbookViewId="0">
      <pane xSplit="2" ySplit="2" topLeftCell="C3" activePane="bottomRight" state="frozen"/>
      <selection activeCell="F18" sqref="F18:F33"/>
      <selection pane="topRight" activeCell="F18" sqref="F18:F33"/>
      <selection pane="bottomLeft" activeCell="F18" sqref="F18:F33"/>
      <selection pane="bottomRight" activeCell="C1" sqref="C1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59765625" style="115" customWidth="1"/>
    <col min="6" max="6" width="5.59765625" style="150" customWidth="1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/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/>
      <c r="D3" s="264"/>
      <c r="E3" s="201"/>
      <c r="F3" s="202"/>
      <c r="G3" s="269"/>
      <c r="H3" s="160">
        <f>IF(F3=0,G3,G3*F3)</f>
        <v>0</v>
      </c>
      <c r="I3" s="272"/>
    </row>
    <row r="4" spans="1:9" ht="15.9" customHeight="1">
      <c r="A4" s="530"/>
      <c r="B4" s="193"/>
      <c r="C4" s="267"/>
      <c r="D4" s="267"/>
      <c r="E4" s="201"/>
      <c r="F4" s="202"/>
      <c r="G4" s="269"/>
      <c r="H4" s="160">
        <f>IF(F4=0,G4,G4*F4)</f>
        <v>0</v>
      </c>
      <c r="I4" s="272"/>
    </row>
    <row r="5" spans="1:9" ht="15.9" customHeight="1">
      <c r="A5" s="530"/>
      <c r="B5" s="193"/>
      <c r="C5" s="267"/>
      <c r="D5" s="267"/>
      <c r="E5" s="201"/>
      <c r="F5" s="268"/>
      <c r="G5" s="269"/>
      <c r="H5" s="160">
        <f t="shared" ref="H5" si="0">IF(F5=0,G5,G5*F5)</f>
        <v>0</v>
      </c>
      <c r="I5" s="272"/>
    </row>
    <row r="6" spans="1:9" ht="15.9" customHeight="1">
      <c r="A6" s="530"/>
      <c r="B6" s="193"/>
      <c r="C6" s="267"/>
      <c r="D6" s="267"/>
      <c r="E6" s="201"/>
      <c r="F6" s="202"/>
      <c r="G6" s="269"/>
      <c r="H6" s="160">
        <f t="shared" ref="H6" si="1">IF(F6=0,G6,G6*F6)</f>
        <v>0</v>
      </c>
      <c r="I6" s="25"/>
    </row>
    <row r="7" spans="1:9" ht="15.9" customHeight="1">
      <c r="A7" s="530"/>
      <c r="B7" s="193"/>
      <c r="C7" s="200"/>
      <c r="D7" s="200"/>
      <c r="E7" s="201"/>
      <c r="F7" s="202"/>
      <c r="G7" s="203"/>
      <c r="H7" s="160">
        <f t="shared" ref="H7:H44" si="2">IF(F7=0,G7,G7*F7)</f>
        <v>0</v>
      </c>
      <c r="I7" s="25"/>
    </row>
    <row r="8" spans="1:9" ht="15.9" customHeight="1">
      <c r="A8" s="530"/>
      <c r="B8" s="193"/>
      <c r="C8" s="200"/>
      <c r="D8" s="200"/>
      <c r="E8" s="200"/>
      <c r="F8" s="202"/>
      <c r="G8" s="203"/>
      <c r="H8" s="160">
        <f t="shared" si="2"/>
        <v>0</v>
      </c>
      <c r="I8" s="25"/>
    </row>
    <row r="9" spans="1:9" ht="15.9" customHeight="1">
      <c r="A9" s="530"/>
      <c r="B9" s="193"/>
      <c r="C9" s="200"/>
      <c r="D9" s="200"/>
      <c r="E9" s="200"/>
      <c r="F9" s="202"/>
      <c r="G9" s="203"/>
      <c r="H9" s="160">
        <f t="shared" si="2"/>
        <v>0</v>
      </c>
      <c r="I9" s="25"/>
    </row>
    <row r="10" spans="1:9" ht="15.9" customHeight="1">
      <c r="A10" s="530"/>
      <c r="B10" s="193"/>
      <c r="C10" s="200"/>
      <c r="D10" s="200"/>
      <c r="E10" s="200"/>
      <c r="F10" s="202"/>
      <c r="G10" s="203"/>
      <c r="H10" s="160">
        <f t="shared" si="2"/>
        <v>0</v>
      </c>
      <c r="I10" s="25"/>
    </row>
    <row r="11" spans="1:9" ht="15.9" customHeight="1">
      <c r="A11" s="530"/>
      <c r="B11" s="193"/>
      <c r="C11" s="200"/>
      <c r="D11" s="200"/>
      <c r="E11" s="200"/>
      <c r="F11" s="202"/>
      <c r="G11" s="203"/>
      <c r="H11" s="160">
        <f t="shared" si="2"/>
        <v>0</v>
      </c>
      <c r="I11" s="25"/>
    </row>
    <row r="12" spans="1:9" ht="15.9" customHeight="1">
      <c r="A12" s="530"/>
      <c r="B12" s="193"/>
      <c r="C12" s="200"/>
      <c r="D12" s="200"/>
      <c r="E12" s="200"/>
      <c r="F12" s="203"/>
      <c r="G12" s="203"/>
      <c r="H12" s="160">
        <f t="shared" si="2"/>
        <v>0</v>
      </c>
      <c r="I12" s="25"/>
    </row>
    <row r="13" spans="1:9" ht="15.9" customHeight="1">
      <c r="A13" s="530"/>
      <c r="B13" s="193"/>
      <c r="C13" s="204"/>
      <c r="D13" s="205"/>
      <c r="E13" s="205"/>
      <c r="F13" s="206"/>
      <c r="G13" s="207"/>
      <c r="H13" s="227">
        <f t="shared" si="2"/>
        <v>0</v>
      </c>
      <c r="I13" s="228"/>
    </row>
    <row r="14" spans="1:9" ht="15.9" customHeight="1">
      <c r="A14" s="530"/>
      <c r="B14" s="209"/>
      <c r="C14" s="235"/>
      <c r="D14" s="235"/>
      <c r="E14" s="235"/>
      <c r="F14" s="233"/>
      <c r="G14" s="233"/>
      <c r="H14" s="234">
        <f>SUM(H3:H13)</f>
        <v>0</v>
      </c>
      <c r="I14" s="235"/>
    </row>
    <row r="15" spans="1:9" ht="15.9" customHeight="1">
      <c r="A15" s="530"/>
      <c r="B15" s="193" t="s">
        <v>144</v>
      </c>
      <c r="C15" s="194"/>
      <c r="D15" s="194"/>
      <c r="E15" s="195"/>
      <c r="F15" s="196"/>
      <c r="G15" s="197"/>
      <c r="H15" s="198">
        <f t="shared" si="2"/>
        <v>0</v>
      </c>
      <c r="I15" s="199"/>
    </row>
    <row r="16" spans="1:9" ht="15.9" customHeight="1">
      <c r="A16" s="530"/>
      <c r="B16" s="193" t="s">
        <v>145</v>
      </c>
      <c r="C16" s="200"/>
      <c r="D16" s="200"/>
      <c r="E16" s="200"/>
      <c r="F16" s="203"/>
      <c r="G16" s="203"/>
      <c r="H16" s="160">
        <f t="shared" si="2"/>
        <v>0</v>
      </c>
      <c r="I16" s="25"/>
    </row>
    <row r="17" spans="1:9" ht="15.9" customHeight="1">
      <c r="A17" s="530"/>
      <c r="B17" s="193"/>
      <c r="C17" s="200"/>
      <c r="D17" s="200"/>
      <c r="E17" s="200"/>
      <c r="F17" s="203"/>
      <c r="G17" s="203"/>
      <c r="H17" s="160">
        <f t="shared" si="2"/>
        <v>0</v>
      </c>
      <c r="I17" s="25"/>
    </row>
    <row r="18" spans="1:9" ht="15.9" customHeight="1">
      <c r="A18" s="530"/>
      <c r="B18" s="193"/>
      <c r="C18" s="200"/>
      <c r="D18" s="200"/>
      <c r="E18" s="200"/>
      <c r="F18" s="203"/>
      <c r="G18" s="203"/>
      <c r="H18" s="160">
        <f t="shared" si="2"/>
        <v>0</v>
      </c>
      <c r="I18" s="25"/>
    </row>
    <row r="19" spans="1:9" ht="15.9" customHeight="1">
      <c r="A19" s="530"/>
      <c r="B19" s="193"/>
      <c r="C19" s="204"/>
      <c r="D19" s="204"/>
      <c r="E19" s="204"/>
      <c r="F19" s="207"/>
      <c r="G19" s="207"/>
      <c r="H19" s="160">
        <f t="shared" si="2"/>
        <v>0</v>
      </c>
      <c r="I19" s="208"/>
    </row>
    <row r="20" spans="1:9" ht="15.9" customHeight="1">
      <c r="A20" s="530"/>
      <c r="B20" s="209"/>
      <c r="C20" s="210"/>
      <c r="D20" s="211"/>
      <c r="E20" s="211"/>
      <c r="F20" s="270"/>
      <c r="G20" s="213"/>
      <c r="H20" s="214">
        <f>SUM(H15:H19)</f>
        <v>0</v>
      </c>
      <c r="I20" s="215"/>
    </row>
    <row r="21" spans="1:9" ht="15.9" customHeight="1">
      <c r="A21" s="530"/>
      <c r="B21" s="236" t="s">
        <v>146</v>
      </c>
      <c r="C21" s="365"/>
      <c r="D21" s="365"/>
      <c r="E21" s="264"/>
      <c r="F21" s="271"/>
      <c r="G21" s="378"/>
      <c r="H21" s="160">
        <f t="shared" ref="H21:H27" si="3">IF(F21=0,G21,G21*F21)</f>
        <v>0</v>
      </c>
      <c r="I21" s="25"/>
    </row>
    <row r="22" spans="1:9" ht="15.9" customHeight="1">
      <c r="A22" s="530"/>
      <c r="B22" s="193" t="s">
        <v>147</v>
      </c>
      <c r="C22" s="365"/>
      <c r="D22" s="365"/>
      <c r="E22" s="264"/>
      <c r="F22" s="271"/>
      <c r="G22" s="378"/>
      <c r="H22" s="160">
        <f t="shared" si="3"/>
        <v>0</v>
      </c>
      <c r="I22" s="25"/>
    </row>
    <row r="23" spans="1:9" ht="15.9" customHeight="1">
      <c r="A23" s="530"/>
      <c r="B23" s="193"/>
      <c r="C23" s="365"/>
      <c r="D23" s="365"/>
      <c r="E23" s="264"/>
      <c r="F23" s="271"/>
      <c r="G23" s="378"/>
      <c r="H23" s="160">
        <f t="shared" si="3"/>
        <v>0</v>
      </c>
      <c r="I23" s="25"/>
    </row>
    <row r="24" spans="1:9" ht="15.9" customHeight="1">
      <c r="A24" s="530"/>
      <c r="B24" s="193"/>
      <c r="C24" s="365"/>
      <c r="D24" s="365"/>
      <c r="E24" s="264"/>
      <c r="F24" s="271"/>
      <c r="G24" s="378"/>
      <c r="H24" s="160">
        <f t="shared" si="3"/>
        <v>0</v>
      </c>
      <c r="I24" s="25"/>
    </row>
    <row r="25" spans="1:9" ht="15.9" customHeight="1">
      <c r="A25" s="530"/>
      <c r="B25" s="193"/>
      <c r="C25" s="365"/>
      <c r="D25" s="365"/>
      <c r="E25" s="264"/>
      <c r="F25" s="271"/>
      <c r="G25" s="378"/>
      <c r="H25" s="160">
        <f t="shared" si="3"/>
        <v>0</v>
      </c>
      <c r="I25" s="25"/>
    </row>
    <row r="26" spans="1:9" ht="15.9" customHeight="1">
      <c r="A26" s="530"/>
      <c r="B26" s="193"/>
      <c r="C26" s="365"/>
      <c r="D26" s="365"/>
      <c r="E26" s="264"/>
      <c r="F26" s="271"/>
      <c r="G26" s="378"/>
      <c r="H26" s="160">
        <f t="shared" si="3"/>
        <v>0</v>
      </c>
      <c r="I26" s="25"/>
    </row>
    <row r="27" spans="1:9" ht="15.9" customHeight="1">
      <c r="A27" s="530"/>
      <c r="B27" s="193"/>
      <c r="C27" s="365"/>
      <c r="D27" s="365"/>
      <c r="E27" s="264"/>
      <c r="F27" s="202"/>
      <c r="G27" s="378"/>
      <c r="H27" s="160">
        <f t="shared" si="3"/>
        <v>0</v>
      </c>
      <c r="I27" s="25"/>
    </row>
    <row r="28" spans="1:9" ht="15.9" customHeight="1">
      <c r="A28" s="530"/>
      <c r="B28" s="193"/>
      <c r="C28" s="267"/>
      <c r="D28" s="264"/>
      <c r="E28" s="264"/>
      <c r="F28" s="271"/>
      <c r="G28" s="269"/>
      <c r="H28" s="160">
        <f t="shared" ref="H28:H29" si="4">IF(F28=0,G28,G28*F28)</f>
        <v>0</v>
      </c>
      <c r="I28" s="272"/>
    </row>
    <row r="29" spans="1:9" ht="15.9" customHeight="1">
      <c r="A29" s="530"/>
      <c r="B29" s="193"/>
      <c r="C29" s="267"/>
      <c r="D29" s="264"/>
      <c r="E29" s="264"/>
      <c r="F29" s="271"/>
      <c r="G29" s="269"/>
      <c r="H29" s="160">
        <f t="shared" si="4"/>
        <v>0</v>
      </c>
      <c r="I29" s="272"/>
    </row>
    <row r="30" spans="1:9" ht="15.9" customHeight="1">
      <c r="A30" s="530"/>
      <c r="B30" s="193"/>
      <c r="C30" s="200"/>
      <c r="D30" s="264"/>
      <c r="E30" s="264"/>
      <c r="F30" s="268"/>
      <c r="G30" s="203"/>
      <c r="H30" s="160">
        <f t="shared" ref="H30:H34" si="5">IF(F30=0,G30,G30*F30)</f>
        <v>0</v>
      </c>
      <c r="I30" s="272"/>
    </row>
    <row r="31" spans="1:9" ht="15.9" customHeight="1">
      <c r="A31" s="530"/>
      <c r="B31" s="193"/>
      <c r="C31" s="200"/>
      <c r="D31" s="264"/>
      <c r="E31" s="264"/>
      <c r="F31" s="271"/>
      <c r="G31" s="203"/>
      <c r="H31" s="160">
        <f t="shared" si="5"/>
        <v>0</v>
      </c>
      <c r="I31" s="272"/>
    </row>
    <row r="32" spans="1:9" ht="15.9" customHeight="1">
      <c r="A32" s="530"/>
      <c r="B32" s="193"/>
      <c r="C32" s="200"/>
      <c r="D32" s="264"/>
      <c r="E32" s="264"/>
      <c r="F32" s="268"/>
      <c r="G32" s="203"/>
      <c r="H32" s="160">
        <f t="shared" si="5"/>
        <v>0</v>
      </c>
      <c r="I32" s="272"/>
    </row>
    <row r="33" spans="1:9" ht="15.9" customHeight="1">
      <c r="A33" s="530"/>
      <c r="B33" s="193"/>
      <c r="C33" s="200"/>
      <c r="D33" s="264"/>
      <c r="E33" s="264"/>
      <c r="F33" s="268"/>
      <c r="G33" s="203"/>
      <c r="H33" s="160">
        <f t="shared" si="5"/>
        <v>0</v>
      </c>
      <c r="I33" s="272"/>
    </row>
    <row r="34" spans="1:9" ht="15.9" customHeight="1">
      <c r="A34" s="530"/>
      <c r="B34" s="193"/>
      <c r="C34" s="200"/>
      <c r="D34" s="264"/>
      <c r="E34" s="264"/>
      <c r="F34" s="268"/>
      <c r="G34" s="203"/>
      <c r="H34" s="160">
        <f t="shared" si="5"/>
        <v>0</v>
      </c>
      <c r="I34" s="272"/>
    </row>
    <row r="35" spans="1:9" ht="15.9" customHeight="1">
      <c r="A35" s="530"/>
      <c r="B35" s="193"/>
      <c r="C35" s="200"/>
      <c r="D35" s="267"/>
      <c r="E35" s="264"/>
      <c r="F35" s="268"/>
      <c r="G35" s="203"/>
      <c r="H35" s="160">
        <f t="shared" si="2"/>
        <v>0</v>
      </c>
      <c r="I35" s="25"/>
    </row>
    <row r="36" spans="1:9" ht="15.9" customHeight="1">
      <c r="A36" s="530"/>
      <c r="B36" s="193"/>
      <c r="C36" s="224"/>
      <c r="D36" s="278"/>
      <c r="E36" s="305"/>
      <c r="F36" s="306"/>
      <c r="G36" s="226"/>
      <c r="H36" s="227">
        <f t="shared" si="2"/>
        <v>0</v>
      </c>
      <c r="I36" s="228"/>
    </row>
    <row r="37" spans="1:9" ht="15.9" customHeight="1">
      <c r="A37" s="530"/>
      <c r="B37" s="209"/>
      <c r="C37" s="239"/>
      <c r="D37" s="215"/>
      <c r="E37" s="215"/>
      <c r="F37" s="214"/>
      <c r="G37" s="214"/>
      <c r="H37" s="214">
        <f>SUM(H21:H36)</f>
        <v>0</v>
      </c>
      <c r="I37" s="215"/>
    </row>
    <row r="38" spans="1:9" ht="15.9" customHeight="1">
      <c r="A38" s="530"/>
      <c r="B38" s="236" t="s">
        <v>49</v>
      </c>
      <c r="C38" s="200"/>
      <c r="D38" s="264"/>
      <c r="E38" s="264"/>
      <c r="F38" s="268"/>
      <c r="G38" s="203"/>
      <c r="H38" s="221">
        <f t="shared" si="2"/>
        <v>0</v>
      </c>
      <c r="I38" s="222"/>
    </row>
    <row r="39" spans="1:9" ht="15.9" customHeight="1">
      <c r="A39" s="530"/>
      <c r="B39" s="193"/>
      <c r="C39" s="200"/>
      <c r="D39" s="264"/>
      <c r="E39" s="264"/>
      <c r="F39" s="268"/>
      <c r="G39" s="203"/>
      <c r="H39" s="160">
        <f t="shared" si="2"/>
        <v>0</v>
      </c>
      <c r="I39" s="25"/>
    </row>
    <row r="40" spans="1:9" ht="15.9" customHeight="1">
      <c r="A40" s="530"/>
      <c r="B40" s="193"/>
      <c r="C40" s="200"/>
      <c r="D40" s="264"/>
      <c r="E40" s="264"/>
      <c r="F40" s="268"/>
      <c r="G40" s="203"/>
      <c r="H40" s="160">
        <f t="shared" si="2"/>
        <v>0</v>
      </c>
      <c r="I40" s="25"/>
    </row>
    <row r="41" spans="1:9" ht="15.9" customHeight="1">
      <c r="A41" s="530"/>
      <c r="B41" s="193"/>
      <c r="C41" s="200"/>
      <c r="D41" s="264"/>
      <c r="E41" s="264"/>
      <c r="F41" s="268"/>
      <c r="G41" s="203"/>
      <c r="H41" s="160">
        <f t="shared" si="2"/>
        <v>0</v>
      </c>
      <c r="I41" s="25"/>
    </row>
    <row r="42" spans="1:9" ht="15.9" customHeight="1">
      <c r="A42" s="530"/>
      <c r="B42" s="193"/>
      <c r="C42" s="200"/>
      <c r="D42" s="200"/>
      <c r="E42" s="201"/>
      <c r="F42" s="202"/>
      <c r="G42" s="203"/>
      <c r="H42" s="160">
        <f t="shared" si="2"/>
        <v>0</v>
      </c>
      <c r="I42" s="25"/>
    </row>
    <row r="43" spans="1:9" ht="15.9" customHeight="1">
      <c r="A43" s="530"/>
      <c r="B43" s="193"/>
      <c r="C43" s="200"/>
      <c r="D43" s="200"/>
      <c r="E43" s="201"/>
      <c r="F43" s="202"/>
      <c r="G43" s="203"/>
      <c r="H43" s="160">
        <f t="shared" si="2"/>
        <v>0</v>
      </c>
      <c r="I43" s="25"/>
    </row>
    <row r="44" spans="1:9" ht="15.9" customHeight="1">
      <c r="A44" s="530"/>
      <c r="B44" s="193"/>
      <c r="C44" s="204"/>
      <c r="D44" s="204"/>
      <c r="E44" s="204"/>
      <c r="F44" s="207"/>
      <c r="G44" s="207"/>
      <c r="H44" s="161">
        <f t="shared" si="2"/>
        <v>0</v>
      </c>
      <c r="I44" s="208"/>
    </row>
    <row r="45" spans="1:9" ht="15.9" customHeight="1">
      <c r="A45" s="530"/>
      <c r="B45" s="209"/>
      <c r="C45" s="210"/>
      <c r="D45" s="211"/>
      <c r="E45" s="211"/>
      <c r="F45" s="213"/>
      <c r="G45" s="213"/>
      <c r="H45" s="214">
        <f>SUM(H38:H44)</f>
        <v>0</v>
      </c>
      <c r="I45" s="215"/>
    </row>
    <row r="46" spans="1:9" ht="15.9" customHeight="1">
      <c r="A46" s="237"/>
      <c r="B46" s="238" t="s">
        <v>129</v>
      </c>
      <c r="C46" s="239"/>
      <c r="D46" s="215"/>
      <c r="E46" s="215"/>
      <c r="F46" s="241"/>
      <c r="G46" s="241"/>
      <c r="H46" s="214">
        <f>SUM(H45,H37,H20,H14)</f>
        <v>0</v>
      </c>
      <c r="I46" s="215"/>
    </row>
    <row r="47" spans="1:9" ht="15.9" customHeight="1">
      <c r="A47" s="531" t="s">
        <v>130</v>
      </c>
      <c r="B47" s="242" t="s">
        <v>55</v>
      </c>
      <c r="C47" s="239"/>
      <c r="D47" s="215"/>
      <c r="E47" s="243" t="s">
        <v>56</v>
      </c>
      <c r="F47" s="380"/>
      <c r="G47" s="245"/>
      <c r="H47" s="246">
        <f>F47*G47</f>
        <v>0</v>
      </c>
      <c r="I47" s="215"/>
    </row>
    <row r="48" spans="1:9" ht="15.9" customHeight="1">
      <c r="A48" s="530"/>
      <c r="B48" s="247" t="s">
        <v>148</v>
      </c>
      <c r="C48" s="287"/>
      <c r="D48" s="288"/>
      <c r="E48" s="368" t="s">
        <v>132</v>
      </c>
      <c r="F48" s="372"/>
      <c r="G48" s="220"/>
      <c r="H48" s="221">
        <f t="shared" ref="H48:H54" si="6">F48*G48</f>
        <v>0</v>
      </c>
      <c r="I48" s="222"/>
    </row>
    <row r="49" spans="1:9" ht="15.9" customHeight="1">
      <c r="A49" s="530"/>
      <c r="B49" s="281" t="s">
        <v>149</v>
      </c>
      <c r="C49" s="290"/>
      <c r="D49" s="267"/>
      <c r="E49" s="369" t="s">
        <v>132</v>
      </c>
      <c r="F49" s="271"/>
      <c r="G49" s="203"/>
      <c r="H49" s="160">
        <f t="shared" si="6"/>
        <v>0</v>
      </c>
      <c r="I49" s="25"/>
    </row>
    <row r="50" spans="1:9" ht="15.9" customHeight="1">
      <c r="A50" s="530"/>
      <c r="B50" s="250" t="s">
        <v>150</v>
      </c>
      <c r="C50" s="290"/>
      <c r="D50" s="267"/>
      <c r="E50" s="369" t="s">
        <v>132</v>
      </c>
      <c r="F50" s="271"/>
      <c r="G50" s="203"/>
      <c r="H50" s="160">
        <f t="shared" si="6"/>
        <v>0</v>
      </c>
      <c r="I50" s="25"/>
    </row>
    <row r="51" spans="1:9" ht="15.9" customHeight="1">
      <c r="A51" s="530"/>
      <c r="B51" s="250" t="s">
        <v>151</v>
      </c>
      <c r="C51" s="290"/>
      <c r="D51" s="267"/>
      <c r="E51" s="369" t="s">
        <v>132</v>
      </c>
      <c r="F51" s="271"/>
      <c r="G51" s="203"/>
      <c r="H51" s="160">
        <f t="shared" si="6"/>
        <v>0</v>
      </c>
      <c r="I51" s="25"/>
    </row>
    <row r="52" spans="1:9" ht="15.9" customHeight="1">
      <c r="A52" s="530"/>
      <c r="B52" s="250" t="s">
        <v>152</v>
      </c>
      <c r="C52" s="290"/>
      <c r="D52" s="267"/>
      <c r="E52" s="369" t="s">
        <v>132</v>
      </c>
      <c r="F52" s="271"/>
      <c r="G52" s="203"/>
      <c r="H52" s="160">
        <f t="shared" si="6"/>
        <v>0</v>
      </c>
      <c r="I52" s="25"/>
    </row>
    <row r="53" spans="1:9" ht="15.9" customHeight="1">
      <c r="A53" s="530"/>
      <c r="B53" s="250" t="s">
        <v>153</v>
      </c>
      <c r="C53" s="290"/>
      <c r="D53" s="267"/>
      <c r="E53" s="369" t="s">
        <v>132</v>
      </c>
      <c r="F53" s="271"/>
      <c r="G53" s="203"/>
      <c r="H53" s="160">
        <f t="shared" si="6"/>
        <v>0</v>
      </c>
      <c r="I53" s="25"/>
    </row>
    <row r="54" spans="1:9" ht="15.9" customHeight="1">
      <c r="A54" s="530"/>
      <c r="B54" s="253" t="s">
        <v>157</v>
      </c>
      <c r="C54" s="292"/>
      <c r="D54" s="293"/>
      <c r="E54" s="370" t="s">
        <v>132</v>
      </c>
      <c r="F54" s="374"/>
      <c r="G54" s="207"/>
      <c r="H54" s="161">
        <f t="shared" si="6"/>
        <v>0</v>
      </c>
      <c r="I54" s="208"/>
    </row>
    <row r="55" spans="1:9" ht="15.9" customHeight="1">
      <c r="A55" s="237"/>
      <c r="B55" s="256" t="s">
        <v>138</v>
      </c>
      <c r="C55" s="239"/>
      <c r="D55" s="215"/>
      <c r="E55" s="215"/>
      <c r="F55" s="213"/>
      <c r="G55" s="213"/>
      <c r="H55" s="213">
        <f>SUM(H47:H54)</f>
        <v>0</v>
      </c>
      <c r="I55" s="211"/>
    </row>
    <row r="56" spans="1:9" ht="15.9" customHeight="1">
      <c r="A56" s="243"/>
      <c r="B56" s="256" t="s">
        <v>155</v>
      </c>
      <c r="C56" s="239"/>
      <c r="D56" s="215"/>
      <c r="E56" s="215"/>
      <c r="F56" s="214"/>
      <c r="G56" s="214"/>
      <c r="H56" s="241">
        <f>'단위공사별(집계)'!L19+'단위공사별(집계)'!I19</f>
        <v>0</v>
      </c>
      <c r="I56" s="215"/>
    </row>
    <row r="57" spans="1:9" ht="15.9" customHeight="1">
      <c r="A57" s="243"/>
      <c r="B57" s="256" t="s">
        <v>80</v>
      </c>
      <c r="C57" s="239"/>
      <c r="D57" s="215"/>
      <c r="E57" s="215"/>
      <c r="F57" s="214"/>
      <c r="G57" s="258"/>
      <c r="H57" s="259"/>
      <c r="I57" s="239"/>
    </row>
    <row r="58" spans="1:9" ht="15.9" customHeight="1">
      <c r="A58" s="243"/>
      <c r="B58" s="256" t="s">
        <v>141</v>
      </c>
      <c r="C58" s="239"/>
      <c r="D58" s="215"/>
      <c r="E58" s="215"/>
      <c r="F58" s="214"/>
      <c r="G58" s="258"/>
      <c r="H58" s="259"/>
      <c r="I58" s="239"/>
    </row>
    <row r="59" spans="1:9" ht="15.9" customHeight="1">
      <c r="A59" s="243"/>
      <c r="B59" s="256" t="s">
        <v>142</v>
      </c>
      <c r="C59" s="239"/>
      <c r="D59" s="215"/>
      <c r="E59" s="215"/>
      <c r="F59" s="214"/>
      <c r="G59" s="214"/>
      <c r="H59" s="213">
        <f>H46+H55+H56+H57+H58</f>
        <v>0</v>
      </c>
      <c r="I59" s="215"/>
    </row>
    <row r="60" spans="1:9">
      <c r="A60" s="121"/>
    </row>
  </sheetData>
  <mergeCells count="3">
    <mergeCell ref="A2:B2"/>
    <mergeCell ref="A3:A45"/>
    <mergeCell ref="A47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pageSetUpPr fitToPage="1"/>
  </sheetPr>
  <dimension ref="A1:I64"/>
  <sheetViews>
    <sheetView zoomScale="115" zoomScaleNormal="115" workbookViewId="0">
      <pane xSplit="2" ySplit="2" topLeftCell="C3" activePane="bottomRight" state="frozen"/>
      <selection activeCell="F18" sqref="F18:F33"/>
      <selection pane="topRight" activeCell="F18" sqref="F18:F33"/>
      <selection pane="bottomLeft" activeCell="F18" sqref="F18:F33"/>
      <selection pane="bottomRight" activeCell="C1" sqref="C1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59765625" style="115" customWidth="1"/>
    <col min="6" max="6" width="5.59765625" style="150" customWidth="1"/>
    <col min="7" max="7" width="11.89843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/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/>
      <c r="D3" s="264"/>
      <c r="E3" s="201"/>
      <c r="F3" s="202"/>
      <c r="G3" s="269"/>
      <c r="H3" s="160">
        <f>IF(F3=0,G3,G3*F3)</f>
        <v>0</v>
      </c>
      <c r="I3" s="272"/>
    </row>
    <row r="4" spans="1:9" ht="15.9" customHeight="1">
      <c r="A4" s="527"/>
      <c r="B4" s="193"/>
      <c r="C4" s="200"/>
      <c r="D4" s="264"/>
      <c r="E4" s="201"/>
      <c r="F4" s="202"/>
      <c r="G4" s="203"/>
      <c r="H4" s="160">
        <f>IF(F4=0,G4,G4*F4)</f>
        <v>0</v>
      </c>
      <c r="I4" s="272"/>
    </row>
    <row r="5" spans="1:9" ht="15.9" customHeight="1">
      <c r="A5" s="530"/>
      <c r="B5" s="193"/>
      <c r="C5" s="267"/>
      <c r="D5" s="267"/>
      <c r="E5" s="201"/>
      <c r="F5" s="202"/>
      <c r="G5" s="203"/>
      <c r="H5" s="160">
        <f t="shared" ref="H5:H11" si="0">IF(F5=0,G5,G5*F5)</f>
        <v>0</v>
      </c>
      <c r="I5" s="272"/>
    </row>
    <row r="6" spans="1:9" ht="15.9" customHeight="1">
      <c r="A6" s="530"/>
      <c r="B6" s="193"/>
      <c r="C6" s="200"/>
      <c r="D6" s="201"/>
      <c r="E6" s="201"/>
      <c r="F6" s="268"/>
      <c r="G6" s="203"/>
      <c r="H6" s="160">
        <f t="shared" si="0"/>
        <v>0</v>
      </c>
      <c r="I6" s="272"/>
    </row>
    <row r="7" spans="1:9" ht="15.9" customHeight="1">
      <c r="A7" s="530"/>
      <c r="B7" s="193"/>
      <c r="C7" s="267"/>
      <c r="D7" s="267"/>
      <c r="E7" s="201"/>
      <c r="F7" s="202"/>
      <c r="G7" s="269"/>
      <c r="H7" s="160">
        <f t="shared" si="0"/>
        <v>0</v>
      </c>
      <c r="I7" s="272"/>
    </row>
    <row r="8" spans="1:9" ht="15.9" customHeight="1">
      <c r="A8" s="530"/>
      <c r="B8" s="193"/>
      <c r="C8" s="267"/>
      <c r="D8" s="267"/>
      <c r="E8" s="201"/>
      <c r="F8" s="268"/>
      <c r="G8" s="269"/>
      <c r="H8" s="160">
        <f t="shared" si="0"/>
        <v>0</v>
      </c>
      <c r="I8" s="272"/>
    </row>
    <row r="9" spans="1:9" ht="15.9" customHeight="1">
      <c r="A9" s="530"/>
      <c r="B9" s="193"/>
      <c r="C9" s="267"/>
      <c r="D9" s="267"/>
      <c r="E9" s="201"/>
      <c r="F9" s="268"/>
      <c r="G9" s="269"/>
      <c r="H9" s="160">
        <f t="shared" si="0"/>
        <v>0</v>
      </c>
      <c r="I9" s="272"/>
    </row>
    <row r="10" spans="1:9" ht="15.9" customHeight="1">
      <c r="A10" s="530"/>
      <c r="B10" s="193"/>
      <c r="C10" s="267"/>
      <c r="D10" s="267"/>
      <c r="E10" s="201"/>
      <c r="F10" s="268"/>
      <c r="G10" s="269"/>
      <c r="H10" s="160">
        <f t="shared" si="0"/>
        <v>0</v>
      </c>
      <c r="I10" s="272"/>
    </row>
    <row r="11" spans="1:9" ht="15.9" customHeight="1">
      <c r="A11" s="530"/>
      <c r="B11" s="193"/>
      <c r="C11" s="267"/>
      <c r="D11" s="267"/>
      <c r="E11" s="201"/>
      <c r="F11" s="268"/>
      <c r="G11" s="269"/>
      <c r="H11" s="160">
        <f t="shared" si="0"/>
        <v>0</v>
      </c>
      <c r="I11" s="272"/>
    </row>
    <row r="12" spans="1:9" ht="15.9" customHeight="1">
      <c r="A12" s="530"/>
      <c r="B12" s="193"/>
      <c r="C12" s="200"/>
      <c r="D12" s="200"/>
      <c r="E12" s="201"/>
      <c r="F12" s="268"/>
      <c r="G12" s="203"/>
      <c r="H12" s="160">
        <f t="shared" ref="H12:H48" si="1">IF(F12=0,G12,G12*F12)</f>
        <v>0</v>
      </c>
      <c r="I12" s="25"/>
    </row>
    <row r="13" spans="1:9" ht="15.9" customHeight="1">
      <c r="A13" s="530"/>
      <c r="B13" s="193"/>
      <c r="C13" s="200"/>
      <c r="D13" s="200"/>
      <c r="E13" s="200"/>
      <c r="F13" s="202"/>
      <c r="G13" s="203"/>
      <c r="H13" s="160">
        <f t="shared" si="1"/>
        <v>0</v>
      </c>
      <c r="I13" s="25"/>
    </row>
    <row r="14" spans="1:9" ht="15.9" customHeight="1">
      <c r="A14" s="530"/>
      <c r="B14" s="193"/>
      <c r="C14" s="200"/>
      <c r="D14" s="200"/>
      <c r="E14" s="200"/>
      <c r="F14" s="202"/>
      <c r="G14" s="203"/>
      <c r="H14" s="160">
        <f t="shared" si="1"/>
        <v>0</v>
      </c>
      <c r="I14" s="25"/>
    </row>
    <row r="15" spans="1:9" ht="15.9" customHeight="1">
      <c r="A15" s="530"/>
      <c r="B15" s="193"/>
      <c r="C15" s="200"/>
      <c r="D15" s="200"/>
      <c r="E15" s="200"/>
      <c r="F15" s="203"/>
      <c r="G15" s="203"/>
      <c r="H15" s="160">
        <f t="shared" si="1"/>
        <v>0</v>
      </c>
      <c r="I15" s="25"/>
    </row>
    <row r="16" spans="1:9" ht="15.9" customHeight="1">
      <c r="A16" s="530"/>
      <c r="B16" s="193"/>
      <c r="C16" s="204"/>
      <c r="D16" s="205"/>
      <c r="E16" s="205"/>
      <c r="F16" s="206"/>
      <c r="G16" s="207"/>
      <c r="H16" s="227">
        <f t="shared" si="1"/>
        <v>0</v>
      </c>
      <c r="I16" s="228"/>
    </row>
    <row r="17" spans="1:9" ht="15.9" customHeight="1">
      <c r="A17" s="530"/>
      <c r="B17" s="209"/>
      <c r="C17" s="235"/>
      <c r="D17" s="235"/>
      <c r="E17" s="235"/>
      <c r="F17" s="233"/>
      <c r="G17" s="233"/>
      <c r="H17" s="234">
        <f>SUM(H3:H16)</f>
        <v>0</v>
      </c>
      <c r="I17" s="235"/>
    </row>
    <row r="18" spans="1:9" ht="15.9" customHeight="1">
      <c r="A18" s="530"/>
      <c r="B18" s="193" t="s">
        <v>144</v>
      </c>
      <c r="C18" s="194"/>
      <c r="D18" s="194"/>
      <c r="E18" s="195"/>
      <c r="F18" s="196"/>
      <c r="G18" s="197"/>
      <c r="H18" s="198">
        <f t="shared" si="1"/>
        <v>0</v>
      </c>
      <c r="I18" s="199"/>
    </row>
    <row r="19" spans="1:9" ht="15.9" customHeight="1">
      <c r="A19" s="530"/>
      <c r="B19" s="193" t="s">
        <v>145</v>
      </c>
      <c r="C19" s="200"/>
      <c r="D19" s="200"/>
      <c r="E19" s="200"/>
      <c r="F19" s="203"/>
      <c r="G19" s="203"/>
      <c r="H19" s="160">
        <f t="shared" si="1"/>
        <v>0</v>
      </c>
      <c r="I19" s="25"/>
    </row>
    <row r="20" spans="1:9" ht="15.9" customHeight="1">
      <c r="A20" s="530"/>
      <c r="B20" s="193"/>
      <c r="C20" s="200"/>
      <c r="D20" s="200"/>
      <c r="E20" s="200"/>
      <c r="F20" s="203"/>
      <c r="G20" s="203"/>
      <c r="H20" s="160">
        <f t="shared" si="1"/>
        <v>0</v>
      </c>
      <c r="I20" s="25"/>
    </row>
    <row r="21" spans="1:9" ht="15.9" customHeight="1">
      <c r="A21" s="530"/>
      <c r="B21" s="193"/>
      <c r="C21" s="200"/>
      <c r="D21" s="200"/>
      <c r="E21" s="200"/>
      <c r="F21" s="203"/>
      <c r="G21" s="203"/>
      <c r="H21" s="160">
        <f t="shared" si="1"/>
        <v>0</v>
      </c>
      <c r="I21" s="25"/>
    </row>
    <row r="22" spans="1:9" ht="15.9" customHeight="1">
      <c r="A22" s="530"/>
      <c r="B22" s="193"/>
      <c r="C22" s="204"/>
      <c r="D22" s="204"/>
      <c r="E22" s="204"/>
      <c r="F22" s="207"/>
      <c r="G22" s="207"/>
      <c r="H22" s="160">
        <f t="shared" si="1"/>
        <v>0</v>
      </c>
      <c r="I22" s="208"/>
    </row>
    <row r="23" spans="1:9" ht="15.9" customHeight="1">
      <c r="A23" s="530"/>
      <c r="B23" s="209"/>
      <c r="C23" s="210"/>
      <c r="D23" s="211"/>
      <c r="E23" s="211"/>
      <c r="F23" s="270"/>
      <c r="G23" s="213"/>
      <c r="H23" s="214">
        <f>SUM(H18:H22)</f>
        <v>0</v>
      </c>
      <c r="I23" s="215"/>
    </row>
    <row r="24" spans="1:9" ht="15.9" customHeight="1">
      <c r="A24" s="530"/>
      <c r="B24" s="236" t="s">
        <v>146</v>
      </c>
      <c r="C24" s="267"/>
      <c r="D24" s="267"/>
      <c r="E24" s="264"/>
      <c r="F24" s="264"/>
      <c r="G24" s="269"/>
      <c r="H24" s="168">
        <f t="shared" ref="H24:H32" si="2">IF(F24=0,G24,G24*F24)</f>
        <v>0</v>
      </c>
      <c r="I24" s="376"/>
    </row>
    <row r="25" spans="1:9" ht="15.9" customHeight="1">
      <c r="A25" s="530"/>
      <c r="B25" s="193" t="s">
        <v>147</v>
      </c>
      <c r="C25" s="267"/>
      <c r="D25" s="267"/>
      <c r="E25" s="264"/>
      <c r="F25" s="264"/>
      <c r="G25" s="269"/>
      <c r="H25" s="160">
        <f t="shared" si="2"/>
        <v>0</v>
      </c>
      <c r="I25" s="376"/>
    </row>
    <row r="26" spans="1:9" ht="15.9" customHeight="1">
      <c r="A26" s="530"/>
      <c r="B26" s="193"/>
      <c r="C26" s="267"/>
      <c r="D26" s="267"/>
      <c r="E26" s="264"/>
      <c r="F26" s="264"/>
      <c r="G26" s="269"/>
      <c r="H26" s="160">
        <f t="shared" si="2"/>
        <v>0</v>
      </c>
      <c r="I26" s="376"/>
    </row>
    <row r="27" spans="1:9" ht="15.9" customHeight="1">
      <c r="A27" s="530"/>
      <c r="B27" s="193"/>
      <c r="C27" s="267"/>
      <c r="D27" s="267"/>
      <c r="E27" s="264"/>
      <c r="F27" s="264"/>
      <c r="G27" s="269"/>
      <c r="H27" s="160">
        <f t="shared" ref="H27:H28" si="3">IF(F27=0,G27,G27*F27)</f>
        <v>0</v>
      </c>
      <c r="I27" s="376"/>
    </row>
    <row r="28" spans="1:9" ht="15.9" customHeight="1">
      <c r="A28" s="530"/>
      <c r="B28" s="193"/>
      <c r="C28" s="267"/>
      <c r="D28" s="267"/>
      <c r="E28" s="264"/>
      <c r="F28" s="264"/>
      <c r="G28" s="269"/>
      <c r="H28" s="160">
        <f t="shared" si="3"/>
        <v>0</v>
      </c>
      <c r="I28" s="376"/>
    </row>
    <row r="29" spans="1:9" ht="15.9" customHeight="1">
      <c r="A29" s="530"/>
      <c r="B29" s="193"/>
      <c r="C29" s="267"/>
      <c r="D29" s="264"/>
      <c r="E29" s="264"/>
      <c r="F29" s="271"/>
      <c r="G29" s="269"/>
      <c r="H29" s="160">
        <f t="shared" si="2"/>
        <v>0</v>
      </c>
      <c r="I29" s="377"/>
    </row>
    <row r="30" spans="1:9" ht="15.9" customHeight="1">
      <c r="A30" s="530"/>
      <c r="B30" s="193"/>
      <c r="C30" s="267"/>
      <c r="D30" s="264"/>
      <c r="E30" s="264"/>
      <c r="F30" s="271"/>
      <c r="G30" s="269"/>
      <c r="H30" s="160">
        <f t="shared" si="2"/>
        <v>0</v>
      </c>
      <c r="I30" s="377"/>
    </row>
    <row r="31" spans="1:9" ht="15.9" customHeight="1">
      <c r="A31" s="530"/>
      <c r="B31" s="193"/>
      <c r="C31" s="200"/>
      <c r="D31" s="264"/>
      <c r="E31" s="264"/>
      <c r="F31" s="268"/>
      <c r="G31" s="203"/>
      <c r="H31" s="160">
        <f t="shared" si="2"/>
        <v>0</v>
      </c>
      <c r="I31" s="377"/>
    </row>
    <row r="32" spans="1:9" ht="15.9" customHeight="1">
      <c r="A32" s="530"/>
      <c r="B32" s="193"/>
      <c r="C32" s="200"/>
      <c r="D32" s="264"/>
      <c r="E32" s="264"/>
      <c r="F32" s="271"/>
      <c r="G32" s="203"/>
      <c r="H32" s="160">
        <f t="shared" si="2"/>
        <v>0</v>
      </c>
      <c r="I32" s="377"/>
    </row>
    <row r="33" spans="1:9" ht="15.9" customHeight="1">
      <c r="A33" s="530"/>
      <c r="B33" s="193"/>
      <c r="C33" s="200"/>
      <c r="D33" s="264"/>
      <c r="E33" s="264"/>
      <c r="F33" s="268"/>
      <c r="G33" s="203"/>
      <c r="H33" s="160">
        <f t="shared" si="1"/>
        <v>0</v>
      </c>
      <c r="I33" s="377"/>
    </row>
    <row r="34" spans="1:9" ht="15.9" customHeight="1">
      <c r="A34" s="530"/>
      <c r="B34" s="193"/>
      <c r="C34" s="200"/>
      <c r="D34" s="264"/>
      <c r="E34" s="264"/>
      <c r="F34" s="268"/>
      <c r="G34" s="203"/>
      <c r="H34" s="160">
        <f t="shared" si="1"/>
        <v>0</v>
      </c>
      <c r="I34" s="377"/>
    </row>
    <row r="35" spans="1:9" ht="15.9" customHeight="1">
      <c r="A35" s="530"/>
      <c r="B35" s="193"/>
      <c r="C35" s="200"/>
      <c r="D35" s="267"/>
      <c r="E35" s="264"/>
      <c r="F35" s="268"/>
      <c r="G35" s="203"/>
      <c r="H35" s="160">
        <f t="shared" si="1"/>
        <v>0</v>
      </c>
      <c r="I35" s="25"/>
    </row>
    <row r="36" spans="1:9" ht="15.9" customHeight="1">
      <c r="A36" s="530"/>
      <c r="B36" s="193"/>
      <c r="C36" s="200"/>
      <c r="D36" s="267"/>
      <c r="E36" s="264"/>
      <c r="F36" s="268"/>
      <c r="G36" s="203"/>
      <c r="H36" s="160">
        <f t="shared" si="1"/>
        <v>0</v>
      </c>
      <c r="I36" s="25"/>
    </row>
    <row r="37" spans="1:9" ht="15.9" customHeight="1">
      <c r="A37" s="530"/>
      <c r="B37" s="193"/>
      <c r="C37" s="200"/>
      <c r="D37" s="267"/>
      <c r="E37" s="264"/>
      <c r="F37" s="268"/>
      <c r="G37" s="203"/>
      <c r="H37" s="160">
        <f t="shared" si="1"/>
        <v>0</v>
      </c>
      <c r="I37" s="25"/>
    </row>
    <row r="38" spans="1:9" ht="15.9" customHeight="1">
      <c r="A38" s="530"/>
      <c r="B38" s="193"/>
      <c r="C38" s="200"/>
      <c r="D38" s="267"/>
      <c r="E38" s="264"/>
      <c r="F38" s="268"/>
      <c r="G38" s="203"/>
      <c r="H38" s="160">
        <f t="shared" si="1"/>
        <v>0</v>
      </c>
      <c r="I38" s="25"/>
    </row>
    <row r="39" spans="1:9" ht="15.9" customHeight="1">
      <c r="A39" s="530"/>
      <c r="B39" s="193"/>
      <c r="C39" s="200"/>
      <c r="D39" s="267"/>
      <c r="E39" s="264"/>
      <c r="F39" s="268"/>
      <c r="G39" s="203"/>
      <c r="H39" s="160">
        <f t="shared" si="1"/>
        <v>0</v>
      </c>
      <c r="I39" s="25"/>
    </row>
    <row r="40" spans="1:9" ht="15.9" customHeight="1">
      <c r="A40" s="530"/>
      <c r="B40" s="193"/>
      <c r="C40" s="224"/>
      <c r="D40" s="278"/>
      <c r="E40" s="305"/>
      <c r="F40" s="306"/>
      <c r="G40" s="226"/>
      <c r="H40" s="227">
        <f t="shared" si="1"/>
        <v>0</v>
      </c>
      <c r="I40" s="228"/>
    </row>
    <row r="41" spans="1:9" ht="15.9" customHeight="1">
      <c r="A41" s="530"/>
      <c r="B41" s="209"/>
      <c r="C41" s="239"/>
      <c r="D41" s="215"/>
      <c r="E41" s="215"/>
      <c r="F41" s="214"/>
      <c r="G41" s="214"/>
      <c r="H41" s="214">
        <f>SUM(H24:H40)</f>
        <v>0</v>
      </c>
      <c r="I41" s="215"/>
    </row>
    <row r="42" spans="1:9" ht="15.9" customHeight="1">
      <c r="A42" s="530"/>
      <c r="B42" s="236" t="s">
        <v>49</v>
      </c>
      <c r="C42" s="200"/>
      <c r="D42" s="264"/>
      <c r="E42" s="264"/>
      <c r="F42" s="268"/>
      <c r="G42" s="203"/>
      <c r="H42" s="221">
        <f t="shared" si="1"/>
        <v>0</v>
      </c>
      <c r="I42" s="222"/>
    </row>
    <row r="43" spans="1:9" ht="15.9" customHeight="1">
      <c r="A43" s="530"/>
      <c r="B43" s="193"/>
      <c r="C43" s="200"/>
      <c r="D43" s="264"/>
      <c r="E43" s="264"/>
      <c r="F43" s="268"/>
      <c r="G43" s="203"/>
      <c r="H43" s="160">
        <f t="shared" si="1"/>
        <v>0</v>
      </c>
      <c r="I43" s="199"/>
    </row>
    <row r="44" spans="1:9" ht="15.9" customHeight="1">
      <c r="A44" s="530"/>
      <c r="B44" s="193"/>
      <c r="C44" s="200"/>
      <c r="D44" s="264"/>
      <c r="E44" s="264"/>
      <c r="F44" s="268"/>
      <c r="G44" s="203"/>
      <c r="H44" s="160">
        <f t="shared" si="1"/>
        <v>0</v>
      </c>
      <c r="I44" s="199"/>
    </row>
    <row r="45" spans="1:9" ht="15.9" customHeight="1">
      <c r="A45" s="530"/>
      <c r="B45" s="193"/>
      <c r="C45" s="200"/>
      <c r="D45" s="264"/>
      <c r="E45" s="264"/>
      <c r="F45" s="268"/>
      <c r="G45" s="203"/>
      <c r="H45" s="160">
        <f t="shared" si="1"/>
        <v>0</v>
      </c>
      <c r="I45" s="25"/>
    </row>
    <row r="46" spans="1:9" ht="15.9" customHeight="1">
      <c r="A46" s="530"/>
      <c r="B46" s="193"/>
      <c r="C46" s="200"/>
      <c r="D46" s="200"/>
      <c r="E46" s="201"/>
      <c r="F46" s="202"/>
      <c r="G46" s="203"/>
      <c r="H46" s="160">
        <f t="shared" si="1"/>
        <v>0</v>
      </c>
      <c r="I46" s="25"/>
    </row>
    <row r="47" spans="1:9" ht="15.9" customHeight="1">
      <c r="A47" s="530"/>
      <c r="B47" s="193"/>
      <c r="C47" s="200"/>
      <c r="D47" s="200"/>
      <c r="E47" s="201"/>
      <c r="F47" s="202"/>
      <c r="G47" s="203"/>
      <c r="H47" s="160">
        <f t="shared" si="1"/>
        <v>0</v>
      </c>
      <c r="I47" s="25"/>
    </row>
    <row r="48" spans="1:9" ht="15.9" customHeight="1">
      <c r="A48" s="530"/>
      <c r="B48" s="193"/>
      <c r="C48" s="224"/>
      <c r="D48" s="305"/>
      <c r="E48" s="305"/>
      <c r="F48" s="306"/>
      <c r="G48" s="226"/>
      <c r="H48" s="227">
        <f t="shared" si="1"/>
        <v>0</v>
      </c>
      <c r="I48" s="228"/>
    </row>
    <row r="49" spans="1:9" ht="15.9" customHeight="1">
      <c r="A49" s="530"/>
      <c r="B49" s="209"/>
      <c r="C49" s="239"/>
      <c r="D49" s="215"/>
      <c r="E49" s="215"/>
      <c r="F49" s="214"/>
      <c r="G49" s="214"/>
      <c r="H49" s="214">
        <f>SUM(H42:H48)</f>
        <v>0</v>
      </c>
      <c r="I49" s="215"/>
    </row>
    <row r="50" spans="1:9" ht="15.9" customHeight="1">
      <c r="A50" s="237"/>
      <c r="B50" s="238" t="s">
        <v>129</v>
      </c>
      <c r="C50" s="239"/>
      <c r="D50" s="215"/>
      <c r="E50" s="215"/>
      <c r="F50" s="241"/>
      <c r="G50" s="241"/>
      <c r="H50" s="214">
        <f>SUM(H49,H41,H23,H17)</f>
        <v>0</v>
      </c>
      <c r="I50" s="215"/>
    </row>
    <row r="51" spans="1:9" ht="15.9" customHeight="1">
      <c r="A51" s="531" t="s">
        <v>130</v>
      </c>
      <c r="B51" s="242" t="s">
        <v>55</v>
      </c>
      <c r="C51" s="239"/>
      <c r="D51" s="215"/>
      <c r="E51" s="242" t="s">
        <v>56</v>
      </c>
      <c r="F51" s="259"/>
      <c r="G51" s="245"/>
      <c r="H51" s="246">
        <f>F51*G51</f>
        <v>0</v>
      </c>
      <c r="I51" s="215"/>
    </row>
    <row r="52" spans="1:9" ht="15.9" customHeight="1">
      <c r="A52" s="530"/>
      <c r="B52" s="247" t="s">
        <v>148</v>
      </c>
      <c r="C52" s="287"/>
      <c r="D52" s="288"/>
      <c r="E52" s="289" t="s">
        <v>132</v>
      </c>
      <c r="F52" s="219"/>
      <c r="G52" s="220"/>
      <c r="H52" s="221">
        <f t="shared" ref="H52:H58" si="4">F52*G52</f>
        <v>0</v>
      </c>
      <c r="I52" s="222"/>
    </row>
    <row r="53" spans="1:9" ht="15.9" customHeight="1">
      <c r="A53" s="530"/>
      <c r="B53" s="281" t="s">
        <v>149</v>
      </c>
      <c r="C53" s="290"/>
      <c r="D53" s="267"/>
      <c r="E53" s="282" t="s">
        <v>132</v>
      </c>
      <c r="F53" s="268"/>
      <c r="G53" s="203"/>
      <c r="H53" s="160">
        <f t="shared" si="4"/>
        <v>0</v>
      </c>
      <c r="I53" s="25"/>
    </row>
    <row r="54" spans="1:9" ht="15.9" customHeight="1">
      <c r="A54" s="530"/>
      <c r="B54" s="250" t="s">
        <v>150</v>
      </c>
      <c r="C54" s="290"/>
      <c r="D54" s="267"/>
      <c r="E54" s="282" t="s">
        <v>132</v>
      </c>
      <c r="F54" s="268"/>
      <c r="G54" s="203"/>
      <c r="H54" s="160">
        <f t="shared" si="4"/>
        <v>0</v>
      </c>
      <c r="I54" s="25"/>
    </row>
    <row r="55" spans="1:9" ht="15.9" customHeight="1">
      <c r="A55" s="530"/>
      <c r="B55" s="250" t="s">
        <v>151</v>
      </c>
      <c r="C55" s="290"/>
      <c r="D55" s="267"/>
      <c r="E55" s="282" t="s">
        <v>132</v>
      </c>
      <c r="F55" s="275"/>
      <c r="G55" s="203"/>
      <c r="H55" s="160">
        <f t="shared" si="4"/>
        <v>0</v>
      </c>
      <c r="I55" s="25"/>
    </row>
    <row r="56" spans="1:9" ht="15.9" customHeight="1">
      <c r="A56" s="530"/>
      <c r="B56" s="250" t="s">
        <v>152</v>
      </c>
      <c r="C56" s="290"/>
      <c r="D56" s="267"/>
      <c r="E56" s="282" t="s">
        <v>132</v>
      </c>
      <c r="F56" s="275"/>
      <c r="G56" s="203"/>
      <c r="H56" s="160">
        <f t="shared" si="4"/>
        <v>0</v>
      </c>
      <c r="I56" s="25"/>
    </row>
    <row r="57" spans="1:9" ht="15.9" customHeight="1">
      <c r="A57" s="530"/>
      <c r="B57" s="250" t="s">
        <v>153</v>
      </c>
      <c r="C57" s="290"/>
      <c r="D57" s="267"/>
      <c r="E57" s="282" t="s">
        <v>132</v>
      </c>
      <c r="F57" s="291"/>
      <c r="G57" s="203"/>
      <c r="H57" s="160">
        <f t="shared" si="4"/>
        <v>0</v>
      </c>
      <c r="I57" s="25"/>
    </row>
    <row r="58" spans="1:9" ht="15.9" customHeight="1">
      <c r="A58" s="530"/>
      <c r="B58" s="253" t="s">
        <v>157</v>
      </c>
      <c r="C58" s="292"/>
      <c r="D58" s="293"/>
      <c r="E58" s="276" t="s">
        <v>132</v>
      </c>
      <c r="F58" s="294"/>
      <c r="G58" s="207"/>
      <c r="H58" s="161">
        <f t="shared" si="4"/>
        <v>0</v>
      </c>
      <c r="I58" s="208"/>
    </row>
    <row r="59" spans="1:9" ht="15.9" customHeight="1">
      <c r="A59" s="237"/>
      <c r="B59" s="256" t="s">
        <v>138</v>
      </c>
      <c r="C59" s="239"/>
      <c r="D59" s="215"/>
      <c r="E59" s="215"/>
      <c r="F59" s="213"/>
      <c r="G59" s="213"/>
      <c r="H59" s="213">
        <f>SUM(H51:H58)</f>
        <v>0</v>
      </c>
      <c r="I59" s="211"/>
    </row>
    <row r="60" spans="1:9" ht="15.9" customHeight="1">
      <c r="A60" s="243"/>
      <c r="B60" s="256" t="s">
        <v>155</v>
      </c>
      <c r="C60" s="239"/>
      <c r="D60" s="215"/>
      <c r="E60" s="215"/>
      <c r="F60" s="214"/>
      <c r="G60" s="214"/>
      <c r="H60" s="241">
        <f>'단위공사별(집계)'!L20+'단위공사별(집계)'!I20</f>
        <v>0</v>
      </c>
      <c r="I60" s="215"/>
    </row>
    <row r="61" spans="1:9" ht="15.9" customHeight="1">
      <c r="A61" s="243"/>
      <c r="B61" s="256" t="s">
        <v>80</v>
      </c>
      <c r="C61" s="239"/>
      <c r="D61" s="215"/>
      <c r="E61" s="215"/>
      <c r="F61" s="214"/>
      <c r="G61" s="258"/>
      <c r="H61" s="259"/>
      <c r="I61" s="239"/>
    </row>
    <row r="62" spans="1:9" ht="15.9" customHeight="1">
      <c r="A62" s="243"/>
      <c r="B62" s="256" t="s">
        <v>141</v>
      </c>
      <c r="C62" s="239"/>
      <c r="D62" s="215"/>
      <c r="E62" s="215"/>
      <c r="F62" s="214"/>
      <c r="G62" s="258"/>
      <c r="H62" s="259"/>
      <c r="I62" s="239"/>
    </row>
    <row r="63" spans="1:9" ht="15.9" customHeight="1">
      <c r="A63" s="243"/>
      <c r="B63" s="256" t="s">
        <v>142</v>
      </c>
      <c r="C63" s="239"/>
      <c r="D63" s="215"/>
      <c r="E63" s="215"/>
      <c r="F63" s="214"/>
      <c r="G63" s="214"/>
      <c r="H63" s="213">
        <f>H50+H59+H60+H61+H62</f>
        <v>0</v>
      </c>
      <c r="I63" s="215"/>
    </row>
    <row r="64" spans="1:9">
      <c r="A64" s="121"/>
    </row>
  </sheetData>
  <mergeCells count="3">
    <mergeCell ref="A2:B2"/>
    <mergeCell ref="A3:A49"/>
    <mergeCell ref="A51:A5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A1:I49"/>
  <sheetViews>
    <sheetView zoomScaleNormal="100" workbookViewId="0">
      <pane xSplit="2" ySplit="2" topLeftCell="C3" activePane="bottomRight" state="frozen"/>
      <selection activeCell="F18" sqref="F18:F33"/>
      <selection pane="topRight" activeCell="F18" sqref="F18:F33"/>
      <selection pane="bottomLeft" activeCell="F18" sqref="F18:F33"/>
      <selection pane="bottomRight" activeCell="C1" sqref="C1"/>
    </sheetView>
  </sheetViews>
  <sheetFormatPr defaultColWidth="9" defaultRowHeight="14.4"/>
  <cols>
    <col min="1" max="1" width="5" style="115" customWidth="1"/>
    <col min="2" max="2" width="17.8984375" style="115" bestFit="1" customWidth="1"/>
    <col min="3" max="3" width="23.59765625" style="115" customWidth="1"/>
    <col min="4" max="4" width="18.19921875" style="115" customWidth="1"/>
    <col min="5" max="5" width="5.59765625" style="115" customWidth="1"/>
    <col min="6" max="6" width="5.59765625" style="150" customWidth="1"/>
    <col min="7" max="7" width="15.69921875" style="150" customWidth="1"/>
    <col min="8" max="8" width="13.59765625" style="150" customWidth="1"/>
    <col min="9" max="9" width="12.69921875" style="115" customWidth="1"/>
    <col min="10" max="256" width="9" style="115"/>
    <col min="257" max="257" width="5" style="115" customWidth="1"/>
    <col min="258" max="258" width="17.8984375" style="115" bestFit="1" customWidth="1"/>
    <col min="259" max="259" width="23.59765625" style="115" customWidth="1"/>
    <col min="260" max="260" width="18.19921875" style="115" customWidth="1"/>
    <col min="261" max="261" width="5.19921875" style="115" bestFit="1" customWidth="1"/>
    <col min="262" max="262" width="9" style="115"/>
    <col min="263" max="263" width="11.8984375" style="115" customWidth="1"/>
    <col min="264" max="264" width="13.59765625" style="115" customWidth="1"/>
    <col min="265" max="265" width="12.69921875" style="115" customWidth="1"/>
    <col min="266" max="512" width="9" style="115"/>
    <col min="513" max="513" width="5" style="115" customWidth="1"/>
    <col min="514" max="514" width="17.8984375" style="115" bestFit="1" customWidth="1"/>
    <col min="515" max="515" width="23.59765625" style="115" customWidth="1"/>
    <col min="516" max="516" width="18.19921875" style="115" customWidth="1"/>
    <col min="517" max="517" width="5.19921875" style="115" bestFit="1" customWidth="1"/>
    <col min="518" max="518" width="9" style="115"/>
    <col min="519" max="519" width="11.8984375" style="115" customWidth="1"/>
    <col min="520" max="520" width="13.59765625" style="115" customWidth="1"/>
    <col min="521" max="521" width="12.69921875" style="115" customWidth="1"/>
    <col min="522" max="768" width="9" style="115"/>
    <col min="769" max="769" width="5" style="115" customWidth="1"/>
    <col min="770" max="770" width="17.8984375" style="115" bestFit="1" customWidth="1"/>
    <col min="771" max="771" width="23.59765625" style="115" customWidth="1"/>
    <col min="772" max="772" width="18.19921875" style="115" customWidth="1"/>
    <col min="773" max="773" width="5.19921875" style="115" bestFit="1" customWidth="1"/>
    <col min="774" max="774" width="9" style="115"/>
    <col min="775" max="775" width="11.8984375" style="115" customWidth="1"/>
    <col min="776" max="776" width="13.59765625" style="115" customWidth="1"/>
    <col min="777" max="777" width="12.69921875" style="115" customWidth="1"/>
    <col min="778" max="1024" width="9" style="115"/>
    <col min="1025" max="1025" width="5" style="115" customWidth="1"/>
    <col min="1026" max="1026" width="17.8984375" style="115" bestFit="1" customWidth="1"/>
    <col min="1027" max="1027" width="23.59765625" style="115" customWidth="1"/>
    <col min="1028" max="1028" width="18.19921875" style="115" customWidth="1"/>
    <col min="1029" max="1029" width="5.19921875" style="115" bestFit="1" customWidth="1"/>
    <col min="1030" max="1030" width="9" style="115"/>
    <col min="1031" max="1031" width="11.8984375" style="115" customWidth="1"/>
    <col min="1032" max="1032" width="13.59765625" style="115" customWidth="1"/>
    <col min="1033" max="1033" width="12.69921875" style="115" customWidth="1"/>
    <col min="1034" max="1280" width="9" style="115"/>
    <col min="1281" max="1281" width="5" style="115" customWidth="1"/>
    <col min="1282" max="1282" width="17.8984375" style="115" bestFit="1" customWidth="1"/>
    <col min="1283" max="1283" width="23.59765625" style="115" customWidth="1"/>
    <col min="1284" max="1284" width="18.19921875" style="115" customWidth="1"/>
    <col min="1285" max="1285" width="5.19921875" style="115" bestFit="1" customWidth="1"/>
    <col min="1286" max="1286" width="9" style="115"/>
    <col min="1287" max="1287" width="11.8984375" style="115" customWidth="1"/>
    <col min="1288" max="1288" width="13.59765625" style="115" customWidth="1"/>
    <col min="1289" max="1289" width="12.69921875" style="115" customWidth="1"/>
    <col min="1290" max="1536" width="9" style="115"/>
    <col min="1537" max="1537" width="5" style="115" customWidth="1"/>
    <col min="1538" max="1538" width="17.8984375" style="115" bestFit="1" customWidth="1"/>
    <col min="1539" max="1539" width="23.59765625" style="115" customWidth="1"/>
    <col min="1540" max="1540" width="18.19921875" style="115" customWidth="1"/>
    <col min="1541" max="1541" width="5.19921875" style="115" bestFit="1" customWidth="1"/>
    <col min="1542" max="1542" width="9" style="115"/>
    <col min="1543" max="1543" width="11.8984375" style="115" customWidth="1"/>
    <col min="1544" max="1544" width="13.59765625" style="115" customWidth="1"/>
    <col min="1545" max="1545" width="12.69921875" style="115" customWidth="1"/>
    <col min="1546" max="1792" width="9" style="115"/>
    <col min="1793" max="1793" width="5" style="115" customWidth="1"/>
    <col min="1794" max="1794" width="17.8984375" style="115" bestFit="1" customWidth="1"/>
    <col min="1795" max="1795" width="23.59765625" style="115" customWidth="1"/>
    <col min="1796" max="1796" width="18.19921875" style="115" customWidth="1"/>
    <col min="1797" max="1797" width="5.19921875" style="115" bestFit="1" customWidth="1"/>
    <col min="1798" max="1798" width="9" style="115"/>
    <col min="1799" max="1799" width="11.8984375" style="115" customWidth="1"/>
    <col min="1800" max="1800" width="13.59765625" style="115" customWidth="1"/>
    <col min="1801" max="1801" width="12.69921875" style="115" customWidth="1"/>
    <col min="1802" max="2048" width="9" style="115"/>
    <col min="2049" max="2049" width="5" style="115" customWidth="1"/>
    <col min="2050" max="2050" width="17.8984375" style="115" bestFit="1" customWidth="1"/>
    <col min="2051" max="2051" width="23.59765625" style="115" customWidth="1"/>
    <col min="2052" max="2052" width="18.19921875" style="115" customWidth="1"/>
    <col min="2053" max="2053" width="5.19921875" style="115" bestFit="1" customWidth="1"/>
    <col min="2054" max="2054" width="9" style="115"/>
    <col min="2055" max="2055" width="11.8984375" style="115" customWidth="1"/>
    <col min="2056" max="2056" width="13.59765625" style="115" customWidth="1"/>
    <col min="2057" max="2057" width="12.69921875" style="115" customWidth="1"/>
    <col min="2058" max="2304" width="9" style="115"/>
    <col min="2305" max="2305" width="5" style="115" customWidth="1"/>
    <col min="2306" max="2306" width="17.8984375" style="115" bestFit="1" customWidth="1"/>
    <col min="2307" max="2307" width="23.59765625" style="115" customWidth="1"/>
    <col min="2308" max="2308" width="18.19921875" style="115" customWidth="1"/>
    <col min="2309" max="2309" width="5.19921875" style="115" bestFit="1" customWidth="1"/>
    <col min="2310" max="2310" width="9" style="115"/>
    <col min="2311" max="2311" width="11.8984375" style="115" customWidth="1"/>
    <col min="2312" max="2312" width="13.59765625" style="115" customWidth="1"/>
    <col min="2313" max="2313" width="12.69921875" style="115" customWidth="1"/>
    <col min="2314" max="2560" width="9" style="115"/>
    <col min="2561" max="2561" width="5" style="115" customWidth="1"/>
    <col min="2562" max="2562" width="17.8984375" style="115" bestFit="1" customWidth="1"/>
    <col min="2563" max="2563" width="23.59765625" style="115" customWidth="1"/>
    <col min="2564" max="2564" width="18.19921875" style="115" customWidth="1"/>
    <col min="2565" max="2565" width="5.19921875" style="115" bestFit="1" customWidth="1"/>
    <col min="2566" max="2566" width="9" style="115"/>
    <col min="2567" max="2567" width="11.8984375" style="115" customWidth="1"/>
    <col min="2568" max="2568" width="13.59765625" style="115" customWidth="1"/>
    <col min="2569" max="2569" width="12.69921875" style="115" customWidth="1"/>
    <col min="2570" max="2816" width="9" style="115"/>
    <col min="2817" max="2817" width="5" style="115" customWidth="1"/>
    <col min="2818" max="2818" width="17.8984375" style="115" bestFit="1" customWidth="1"/>
    <col min="2819" max="2819" width="23.59765625" style="115" customWidth="1"/>
    <col min="2820" max="2820" width="18.19921875" style="115" customWidth="1"/>
    <col min="2821" max="2821" width="5.19921875" style="115" bestFit="1" customWidth="1"/>
    <col min="2822" max="2822" width="9" style="115"/>
    <col min="2823" max="2823" width="11.8984375" style="115" customWidth="1"/>
    <col min="2824" max="2824" width="13.59765625" style="115" customWidth="1"/>
    <col min="2825" max="2825" width="12.69921875" style="115" customWidth="1"/>
    <col min="2826" max="3072" width="9" style="115"/>
    <col min="3073" max="3073" width="5" style="115" customWidth="1"/>
    <col min="3074" max="3074" width="17.8984375" style="115" bestFit="1" customWidth="1"/>
    <col min="3075" max="3075" width="23.59765625" style="115" customWidth="1"/>
    <col min="3076" max="3076" width="18.19921875" style="115" customWidth="1"/>
    <col min="3077" max="3077" width="5.19921875" style="115" bestFit="1" customWidth="1"/>
    <col min="3078" max="3078" width="9" style="115"/>
    <col min="3079" max="3079" width="11.8984375" style="115" customWidth="1"/>
    <col min="3080" max="3080" width="13.59765625" style="115" customWidth="1"/>
    <col min="3081" max="3081" width="12.69921875" style="115" customWidth="1"/>
    <col min="3082" max="3328" width="9" style="115"/>
    <col min="3329" max="3329" width="5" style="115" customWidth="1"/>
    <col min="3330" max="3330" width="17.8984375" style="115" bestFit="1" customWidth="1"/>
    <col min="3331" max="3331" width="23.59765625" style="115" customWidth="1"/>
    <col min="3332" max="3332" width="18.19921875" style="115" customWidth="1"/>
    <col min="3333" max="3333" width="5.19921875" style="115" bestFit="1" customWidth="1"/>
    <col min="3334" max="3334" width="9" style="115"/>
    <col min="3335" max="3335" width="11.8984375" style="115" customWidth="1"/>
    <col min="3336" max="3336" width="13.59765625" style="115" customWidth="1"/>
    <col min="3337" max="3337" width="12.69921875" style="115" customWidth="1"/>
    <col min="3338" max="3584" width="9" style="115"/>
    <col min="3585" max="3585" width="5" style="115" customWidth="1"/>
    <col min="3586" max="3586" width="17.8984375" style="115" bestFit="1" customWidth="1"/>
    <col min="3587" max="3587" width="23.59765625" style="115" customWidth="1"/>
    <col min="3588" max="3588" width="18.19921875" style="115" customWidth="1"/>
    <col min="3589" max="3589" width="5.19921875" style="115" bestFit="1" customWidth="1"/>
    <col min="3590" max="3590" width="9" style="115"/>
    <col min="3591" max="3591" width="11.8984375" style="115" customWidth="1"/>
    <col min="3592" max="3592" width="13.59765625" style="115" customWidth="1"/>
    <col min="3593" max="3593" width="12.69921875" style="115" customWidth="1"/>
    <col min="3594" max="3840" width="9" style="115"/>
    <col min="3841" max="3841" width="5" style="115" customWidth="1"/>
    <col min="3842" max="3842" width="17.8984375" style="115" bestFit="1" customWidth="1"/>
    <col min="3843" max="3843" width="23.59765625" style="115" customWidth="1"/>
    <col min="3844" max="3844" width="18.19921875" style="115" customWidth="1"/>
    <col min="3845" max="3845" width="5.19921875" style="115" bestFit="1" customWidth="1"/>
    <col min="3846" max="3846" width="9" style="115"/>
    <col min="3847" max="3847" width="11.8984375" style="115" customWidth="1"/>
    <col min="3848" max="3848" width="13.59765625" style="115" customWidth="1"/>
    <col min="3849" max="3849" width="12.69921875" style="115" customWidth="1"/>
    <col min="3850" max="4096" width="9" style="115"/>
    <col min="4097" max="4097" width="5" style="115" customWidth="1"/>
    <col min="4098" max="4098" width="17.8984375" style="115" bestFit="1" customWidth="1"/>
    <col min="4099" max="4099" width="23.59765625" style="115" customWidth="1"/>
    <col min="4100" max="4100" width="18.19921875" style="115" customWidth="1"/>
    <col min="4101" max="4101" width="5.19921875" style="115" bestFit="1" customWidth="1"/>
    <col min="4102" max="4102" width="9" style="115"/>
    <col min="4103" max="4103" width="11.8984375" style="115" customWidth="1"/>
    <col min="4104" max="4104" width="13.59765625" style="115" customWidth="1"/>
    <col min="4105" max="4105" width="12.69921875" style="115" customWidth="1"/>
    <col min="4106" max="4352" width="9" style="115"/>
    <col min="4353" max="4353" width="5" style="115" customWidth="1"/>
    <col min="4354" max="4354" width="17.8984375" style="115" bestFit="1" customWidth="1"/>
    <col min="4355" max="4355" width="23.59765625" style="115" customWidth="1"/>
    <col min="4356" max="4356" width="18.19921875" style="115" customWidth="1"/>
    <col min="4357" max="4357" width="5.19921875" style="115" bestFit="1" customWidth="1"/>
    <col min="4358" max="4358" width="9" style="115"/>
    <col min="4359" max="4359" width="11.8984375" style="115" customWidth="1"/>
    <col min="4360" max="4360" width="13.59765625" style="115" customWidth="1"/>
    <col min="4361" max="4361" width="12.69921875" style="115" customWidth="1"/>
    <col min="4362" max="4608" width="9" style="115"/>
    <col min="4609" max="4609" width="5" style="115" customWidth="1"/>
    <col min="4610" max="4610" width="17.8984375" style="115" bestFit="1" customWidth="1"/>
    <col min="4611" max="4611" width="23.59765625" style="115" customWidth="1"/>
    <col min="4612" max="4612" width="18.19921875" style="115" customWidth="1"/>
    <col min="4613" max="4613" width="5.19921875" style="115" bestFit="1" customWidth="1"/>
    <col min="4614" max="4614" width="9" style="115"/>
    <col min="4615" max="4615" width="11.8984375" style="115" customWidth="1"/>
    <col min="4616" max="4616" width="13.59765625" style="115" customWidth="1"/>
    <col min="4617" max="4617" width="12.69921875" style="115" customWidth="1"/>
    <col min="4618" max="4864" width="9" style="115"/>
    <col min="4865" max="4865" width="5" style="115" customWidth="1"/>
    <col min="4866" max="4866" width="17.8984375" style="115" bestFit="1" customWidth="1"/>
    <col min="4867" max="4867" width="23.59765625" style="115" customWidth="1"/>
    <col min="4868" max="4868" width="18.19921875" style="115" customWidth="1"/>
    <col min="4869" max="4869" width="5.19921875" style="115" bestFit="1" customWidth="1"/>
    <col min="4870" max="4870" width="9" style="115"/>
    <col min="4871" max="4871" width="11.8984375" style="115" customWidth="1"/>
    <col min="4872" max="4872" width="13.59765625" style="115" customWidth="1"/>
    <col min="4873" max="4873" width="12.69921875" style="115" customWidth="1"/>
    <col min="4874" max="5120" width="9" style="115"/>
    <col min="5121" max="5121" width="5" style="115" customWidth="1"/>
    <col min="5122" max="5122" width="17.8984375" style="115" bestFit="1" customWidth="1"/>
    <col min="5123" max="5123" width="23.59765625" style="115" customWidth="1"/>
    <col min="5124" max="5124" width="18.19921875" style="115" customWidth="1"/>
    <col min="5125" max="5125" width="5.19921875" style="115" bestFit="1" customWidth="1"/>
    <col min="5126" max="5126" width="9" style="115"/>
    <col min="5127" max="5127" width="11.8984375" style="115" customWidth="1"/>
    <col min="5128" max="5128" width="13.59765625" style="115" customWidth="1"/>
    <col min="5129" max="5129" width="12.69921875" style="115" customWidth="1"/>
    <col min="5130" max="5376" width="9" style="115"/>
    <col min="5377" max="5377" width="5" style="115" customWidth="1"/>
    <col min="5378" max="5378" width="17.8984375" style="115" bestFit="1" customWidth="1"/>
    <col min="5379" max="5379" width="23.59765625" style="115" customWidth="1"/>
    <col min="5380" max="5380" width="18.19921875" style="115" customWidth="1"/>
    <col min="5381" max="5381" width="5.19921875" style="115" bestFit="1" customWidth="1"/>
    <col min="5382" max="5382" width="9" style="115"/>
    <col min="5383" max="5383" width="11.8984375" style="115" customWidth="1"/>
    <col min="5384" max="5384" width="13.59765625" style="115" customWidth="1"/>
    <col min="5385" max="5385" width="12.69921875" style="115" customWidth="1"/>
    <col min="5386" max="5632" width="9" style="115"/>
    <col min="5633" max="5633" width="5" style="115" customWidth="1"/>
    <col min="5634" max="5634" width="17.8984375" style="115" bestFit="1" customWidth="1"/>
    <col min="5635" max="5635" width="23.59765625" style="115" customWidth="1"/>
    <col min="5636" max="5636" width="18.19921875" style="115" customWidth="1"/>
    <col min="5637" max="5637" width="5.19921875" style="115" bestFit="1" customWidth="1"/>
    <col min="5638" max="5638" width="9" style="115"/>
    <col min="5639" max="5639" width="11.8984375" style="115" customWidth="1"/>
    <col min="5640" max="5640" width="13.59765625" style="115" customWidth="1"/>
    <col min="5641" max="5641" width="12.69921875" style="115" customWidth="1"/>
    <col min="5642" max="5888" width="9" style="115"/>
    <col min="5889" max="5889" width="5" style="115" customWidth="1"/>
    <col min="5890" max="5890" width="17.8984375" style="115" bestFit="1" customWidth="1"/>
    <col min="5891" max="5891" width="23.59765625" style="115" customWidth="1"/>
    <col min="5892" max="5892" width="18.19921875" style="115" customWidth="1"/>
    <col min="5893" max="5893" width="5.19921875" style="115" bestFit="1" customWidth="1"/>
    <col min="5894" max="5894" width="9" style="115"/>
    <col min="5895" max="5895" width="11.8984375" style="115" customWidth="1"/>
    <col min="5896" max="5896" width="13.59765625" style="115" customWidth="1"/>
    <col min="5897" max="5897" width="12.69921875" style="115" customWidth="1"/>
    <col min="5898" max="6144" width="9" style="115"/>
    <col min="6145" max="6145" width="5" style="115" customWidth="1"/>
    <col min="6146" max="6146" width="17.8984375" style="115" bestFit="1" customWidth="1"/>
    <col min="6147" max="6147" width="23.59765625" style="115" customWidth="1"/>
    <col min="6148" max="6148" width="18.19921875" style="115" customWidth="1"/>
    <col min="6149" max="6149" width="5.19921875" style="115" bestFit="1" customWidth="1"/>
    <col min="6150" max="6150" width="9" style="115"/>
    <col min="6151" max="6151" width="11.8984375" style="115" customWidth="1"/>
    <col min="6152" max="6152" width="13.59765625" style="115" customWidth="1"/>
    <col min="6153" max="6153" width="12.69921875" style="115" customWidth="1"/>
    <col min="6154" max="6400" width="9" style="115"/>
    <col min="6401" max="6401" width="5" style="115" customWidth="1"/>
    <col min="6402" max="6402" width="17.8984375" style="115" bestFit="1" customWidth="1"/>
    <col min="6403" max="6403" width="23.59765625" style="115" customWidth="1"/>
    <col min="6404" max="6404" width="18.19921875" style="115" customWidth="1"/>
    <col min="6405" max="6405" width="5.19921875" style="115" bestFit="1" customWidth="1"/>
    <col min="6406" max="6406" width="9" style="115"/>
    <col min="6407" max="6407" width="11.8984375" style="115" customWidth="1"/>
    <col min="6408" max="6408" width="13.59765625" style="115" customWidth="1"/>
    <col min="6409" max="6409" width="12.69921875" style="115" customWidth="1"/>
    <col min="6410" max="6656" width="9" style="115"/>
    <col min="6657" max="6657" width="5" style="115" customWidth="1"/>
    <col min="6658" max="6658" width="17.8984375" style="115" bestFit="1" customWidth="1"/>
    <col min="6659" max="6659" width="23.59765625" style="115" customWidth="1"/>
    <col min="6660" max="6660" width="18.19921875" style="115" customWidth="1"/>
    <col min="6661" max="6661" width="5.19921875" style="115" bestFit="1" customWidth="1"/>
    <col min="6662" max="6662" width="9" style="115"/>
    <col min="6663" max="6663" width="11.8984375" style="115" customWidth="1"/>
    <col min="6664" max="6664" width="13.59765625" style="115" customWidth="1"/>
    <col min="6665" max="6665" width="12.69921875" style="115" customWidth="1"/>
    <col min="6666" max="6912" width="9" style="115"/>
    <col min="6913" max="6913" width="5" style="115" customWidth="1"/>
    <col min="6914" max="6914" width="17.8984375" style="115" bestFit="1" customWidth="1"/>
    <col min="6915" max="6915" width="23.59765625" style="115" customWidth="1"/>
    <col min="6916" max="6916" width="18.19921875" style="115" customWidth="1"/>
    <col min="6917" max="6917" width="5.19921875" style="115" bestFit="1" customWidth="1"/>
    <col min="6918" max="6918" width="9" style="115"/>
    <col min="6919" max="6919" width="11.8984375" style="115" customWidth="1"/>
    <col min="6920" max="6920" width="13.59765625" style="115" customWidth="1"/>
    <col min="6921" max="6921" width="12.69921875" style="115" customWidth="1"/>
    <col min="6922" max="7168" width="9" style="115"/>
    <col min="7169" max="7169" width="5" style="115" customWidth="1"/>
    <col min="7170" max="7170" width="17.8984375" style="115" bestFit="1" customWidth="1"/>
    <col min="7171" max="7171" width="23.59765625" style="115" customWidth="1"/>
    <col min="7172" max="7172" width="18.19921875" style="115" customWidth="1"/>
    <col min="7173" max="7173" width="5.19921875" style="115" bestFit="1" customWidth="1"/>
    <col min="7174" max="7174" width="9" style="115"/>
    <col min="7175" max="7175" width="11.8984375" style="115" customWidth="1"/>
    <col min="7176" max="7176" width="13.59765625" style="115" customWidth="1"/>
    <col min="7177" max="7177" width="12.69921875" style="115" customWidth="1"/>
    <col min="7178" max="7424" width="9" style="115"/>
    <col min="7425" max="7425" width="5" style="115" customWidth="1"/>
    <col min="7426" max="7426" width="17.8984375" style="115" bestFit="1" customWidth="1"/>
    <col min="7427" max="7427" width="23.59765625" style="115" customWidth="1"/>
    <col min="7428" max="7428" width="18.19921875" style="115" customWidth="1"/>
    <col min="7429" max="7429" width="5.19921875" style="115" bestFit="1" customWidth="1"/>
    <col min="7430" max="7430" width="9" style="115"/>
    <col min="7431" max="7431" width="11.8984375" style="115" customWidth="1"/>
    <col min="7432" max="7432" width="13.59765625" style="115" customWidth="1"/>
    <col min="7433" max="7433" width="12.69921875" style="115" customWidth="1"/>
    <col min="7434" max="7680" width="9" style="115"/>
    <col min="7681" max="7681" width="5" style="115" customWidth="1"/>
    <col min="7682" max="7682" width="17.8984375" style="115" bestFit="1" customWidth="1"/>
    <col min="7683" max="7683" width="23.59765625" style="115" customWidth="1"/>
    <col min="7684" max="7684" width="18.19921875" style="115" customWidth="1"/>
    <col min="7685" max="7685" width="5.19921875" style="115" bestFit="1" customWidth="1"/>
    <col min="7686" max="7686" width="9" style="115"/>
    <col min="7687" max="7687" width="11.8984375" style="115" customWidth="1"/>
    <col min="7688" max="7688" width="13.59765625" style="115" customWidth="1"/>
    <col min="7689" max="7689" width="12.69921875" style="115" customWidth="1"/>
    <col min="7690" max="7936" width="9" style="115"/>
    <col min="7937" max="7937" width="5" style="115" customWidth="1"/>
    <col min="7938" max="7938" width="17.8984375" style="115" bestFit="1" customWidth="1"/>
    <col min="7939" max="7939" width="23.59765625" style="115" customWidth="1"/>
    <col min="7940" max="7940" width="18.19921875" style="115" customWidth="1"/>
    <col min="7941" max="7941" width="5.19921875" style="115" bestFit="1" customWidth="1"/>
    <col min="7942" max="7942" width="9" style="115"/>
    <col min="7943" max="7943" width="11.8984375" style="115" customWidth="1"/>
    <col min="7944" max="7944" width="13.59765625" style="115" customWidth="1"/>
    <col min="7945" max="7945" width="12.69921875" style="115" customWidth="1"/>
    <col min="7946" max="8192" width="9" style="115"/>
    <col min="8193" max="8193" width="5" style="115" customWidth="1"/>
    <col min="8194" max="8194" width="17.8984375" style="115" bestFit="1" customWidth="1"/>
    <col min="8195" max="8195" width="23.59765625" style="115" customWidth="1"/>
    <col min="8196" max="8196" width="18.19921875" style="115" customWidth="1"/>
    <col min="8197" max="8197" width="5.19921875" style="115" bestFit="1" customWidth="1"/>
    <col min="8198" max="8198" width="9" style="115"/>
    <col min="8199" max="8199" width="11.8984375" style="115" customWidth="1"/>
    <col min="8200" max="8200" width="13.59765625" style="115" customWidth="1"/>
    <col min="8201" max="8201" width="12.69921875" style="115" customWidth="1"/>
    <col min="8202" max="8448" width="9" style="115"/>
    <col min="8449" max="8449" width="5" style="115" customWidth="1"/>
    <col min="8450" max="8450" width="17.8984375" style="115" bestFit="1" customWidth="1"/>
    <col min="8451" max="8451" width="23.59765625" style="115" customWidth="1"/>
    <col min="8452" max="8452" width="18.19921875" style="115" customWidth="1"/>
    <col min="8453" max="8453" width="5.19921875" style="115" bestFit="1" customWidth="1"/>
    <col min="8454" max="8454" width="9" style="115"/>
    <col min="8455" max="8455" width="11.8984375" style="115" customWidth="1"/>
    <col min="8456" max="8456" width="13.59765625" style="115" customWidth="1"/>
    <col min="8457" max="8457" width="12.69921875" style="115" customWidth="1"/>
    <col min="8458" max="8704" width="9" style="115"/>
    <col min="8705" max="8705" width="5" style="115" customWidth="1"/>
    <col min="8706" max="8706" width="17.8984375" style="115" bestFit="1" customWidth="1"/>
    <col min="8707" max="8707" width="23.59765625" style="115" customWidth="1"/>
    <col min="8708" max="8708" width="18.19921875" style="115" customWidth="1"/>
    <col min="8709" max="8709" width="5.19921875" style="115" bestFit="1" customWidth="1"/>
    <col min="8710" max="8710" width="9" style="115"/>
    <col min="8711" max="8711" width="11.8984375" style="115" customWidth="1"/>
    <col min="8712" max="8712" width="13.59765625" style="115" customWidth="1"/>
    <col min="8713" max="8713" width="12.69921875" style="115" customWidth="1"/>
    <col min="8714" max="8960" width="9" style="115"/>
    <col min="8961" max="8961" width="5" style="115" customWidth="1"/>
    <col min="8962" max="8962" width="17.8984375" style="115" bestFit="1" customWidth="1"/>
    <col min="8963" max="8963" width="23.59765625" style="115" customWidth="1"/>
    <col min="8964" max="8964" width="18.19921875" style="115" customWidth="1"/>
    <col min="8965" max="8965" width="5.19921875" style="115" bestFit="1" customWidth="1"/>
    <col min="8966" max="8966" width="9" style="115"/>
    <col min="8967" max="8967" width="11.8984375" style="115" customWidth="1"/>
    <col min="8968" max="8968" width="13.59765625" style="115" customWidth="1"/>
    <col min="8969" max="8969" width="12.69921875" style="115" customWidth="1"/>
    <col min="8970" max="9216" width="9" style="115"/>
    <col min="9217" max="9217" width="5" style="115" customWidth="1"/>
    <col min="9218" max="9218" width="17.8984375" style="115" bestFit="1" customWidth="1"/>
    <col min="9219" max="9219" width="23.59765625" style="115" customWidth="1"/>
    <col min="9220" max="9220" width="18.19921875" style="115" customWidth="1"/>
    <col min="9221" max="9221" width="5.19921875" style="115" bestFit="1" customWidth="1"/>
    <col min="9222" max="9222" width="9" style="115"/>
    <col min="9223" max="9223" width="11.8984375" style="115" customWidth="1"/>
    <col min="9224" max="9224" width="13.59765625" style="115" customWidth="1"/>
    <col min="9225" max="9225" width="12.69921875" style="115" customWidth="1"/>
    <col min="9226" max="9472" width="9" style="115"/>
    <col min="9473" max="9473" width="5" style="115" customWidth="1"/>
    <col min="9474" max="9474" width="17.8984375" style="115" bestFit="1" customWidth="1"/>
    <col min="9475" max="9475" width="23.59765625" style="115" customWidth="1"/>
    <col min="9476" max="9476" width="18.19921875" style="115" customWidth="1"/>
    <col min="9477" max="9477" width="5.19921875" style="115" bestFit="1" customWidth="1"/>
    <col min="9478" max="9478" width="9" style="115"/>
    <col min="9479" max="9479" width="11.8984375" style="115" customWidth="1"/>
    <col min="9480" max="9480" width="13.59765625" style="115" customWidth="1"/>
    <col min="9481" max="9481" width="12.69921875" style="115" customWidth="1"/>
    <col min="9482" max="9728" width="9" style="115"/>
    <col min="9729" max="9729" width="5" style="115" customWidth="1"/>
    <col min="9730" max="9730" width="17.8984375" style="115" bestFit="1" customWidth="1"/>
    <col min="9731" max="9731" width="23.59765625" style="115" customWidth="1"/>
    <col min="9732" max="9732" width="18.19921875" style="115" customWidth="1"/>
    <col min="9733" max="9733" width="5.19921875" style="115" bestFit="1" customWidth="1"/>
    <col min="9734" max="9734" width="9" style="115"/>
    <col min="9735" max="9735" width="11.8984375" style="115" customWidth="1"/>
    <col min="9736" max="9736" width="13.59765625" style="115" customWidth="1"/>
    <col min="9737" max="9737" width="12.69921875" style="115" customWidth="1"/>
    <col min="9738" max="9984" width="9" style="115"/>
    <col min="9985" max="9985" width="5" style="115" customWidth="1"/>
    <col min="9986" max="9986" width="17.8984375" style="115" bestFit="1" customWidth="1"/>
    <col min="9987" max="9987" width="23.59765625" style="115" customWidth="1"/>
    <col min="9988" max="9988" width="18.19921875" style="115" customWidth="1"/>
    <col min="9989" max="9989" width="5.19921875" style="115" bestFit="1" customWidth="1"/>
    <col min="9990" max="9990" width="9" style="115"/>
    <col min="9991" max="9991" width="11.8984375" style="115" customWidth="1"/>
    <col min="9992" max="9992" width="13.59765625" style="115" customWidth="1"/>
    <col min="9993" max="9993" width="12.69921875" style="115" customWidth="1"/>
    <col min="9994" max="10240" width="9" style="115"/>
    <col min="10241" max="10241" width="5" style="115" customWidth="1"/>
    <col min="10242" max="10242" width="17.8984375" style="115" bestFit="1" customWidth="1"/>
    <col min="10243" max="10243" width="23.59765625" style="115" customWidth="1"/>
    <col min="10244" max="10244" width="18.19921875" style="115" customWidth="1"/>
    <col min="10245" max="10245" width="5.19921875" style="115" bestFit="1" customWidth="1"/>
    <col min="10246" max="10246" width="9" style="115"/>
    <col min="10247" max="10247" width="11.8984375" style="115" customWidth="1"/>
    <col min="10248" max="10248" width="13.59765625" style="115" customWidth="1"/>
    <col min="10249" max="10249" width="12.69921875" style="115" customWidth="1"/>
    <col min="10250" max="10496" width="9" style="115"/>
    <col min="10497" max="10497" width="5" style="115" customWidth="1"/>
    <col min="10498" max="10498" width="17.8984375" style="115" bestFit="1" customWidth="1"/>
    <col min="10499" max="10499" width="23.59765625" style="115" customWidth="1"/>
    <col min="10500" max="10500" width="18.19921875" style="115" customWidth="1"/>
    <col min="10501" max="10501" width="5.19921875" style="115" bestFit="1" customWidth="1"/>
    <col min="10502" max="10502" width="9" style="115"/>
    <col min="10503" max="10503" width="11.8984375" style="115" customWidth="1"/>
    <col min="10504" max="10504" width="13.59765625" style="115" customWidth="1"/>
    <col min="10505" max="10505" width="12.69921875" style="115" customWidth="1"/>
    <col min="10506" max="10752" width="9" style="115"/>
    <col min="10753" max="10753" width="5" style="115" customWidth="1"/>
    <col min="10754" max="10754" width="17.8984375" style="115" bestFit="1" customWidth="1"/>
    <col min="10755" max="10755" width="23.59765625" style="115" customWidth="1"/>
    <col min="10756" max="10756" width="18.19921875" style="115" customWidth="1"/>
    <col min="10757" max="10757" width="5.19921875" style="115" bestFit="1" customWidth="1"/>
    <col min="10758" max="10758" width="9" style="115"/>
    <col min="10759" max="10759" width="11.8984375" style="115" customWidth="1"/>
    <col min="10760" max="10760" width="13.59765625" style="115" customWidth="1"/>
    <col min="10761" max="10761" width="12.69921875" style="115" customWidth="1"/>
    <col min="10762" max="11008" width="9" style="115"/>
    <col min="11009" max="11009" width="5" style="115" customWidth="1"/>
    <col min="11010" max="11010" width="17.8984375" style="115" bestFit="1" customWidth="1"/>
    <col min="11011" max="11011" width="23.59765625" style="115" customWidth="1"/>
    <col min="11012" max="11012" width="18.19921875" style="115" customWidth="1"/>
    <col min="11013" max="11013" width="5.19921875" style="115" bestFit="1" customWidth="1"/>
    <col min="11014" max="11014" width="9" style="115"/>
    <col min="11015" max="11015" width="11.8984375" style="115" customWidth="1"/>
    <col min="11016" max="11016" width="13.59765625" style="115" customWidth="1"/>
    <col min="11017" max="11017" width="12.69921875" style="115" customWidth="1"/>
    <col min="11018" max="11264" width="9" style="115"/>
    <col min="11265" max="11265" width="5" style="115" customWidth="1"/>
    <col min="11266" max="11266" width="17.8984375" style="115" bestFit="1" customWidth="1"/>
    <col min="11267" max="11267" width="23.59765625" style="115" customWidth="1"/>
    <col min="11268" max="11268" width="18.19921875" style="115" customWidth="1"/>
    <col min="11269" max="11269" width="5.19921875" style="115" bestFit="1" customWidth="1"/>
    <col min="11270" max="11270" width="9" style="115"/>
    <col min="11271" max="11271" width="11.8984375" style="115" customWidth="1"/>
    <col min="11272" max="11272" width="13.59765625" style="115" customWidth="1"/>
    <col min="11273" max="11273" width="12.69921875" style="115" customWidth="1"/>
    <col min="11274" max="11520" width="9" style="115"/>
    <col min="11521" max="11521" width="5" style="115" customWidth="1"/>
    <col min="11522" max="11522" width="17.8984375" style="115" bestFit="1" customWidth="1"/>
    <col min="11523" max="11523" width="23.59765625" style="115" customWidth="1"/>
    <col min="11524" max="11524" width="18.19921875" style="115" customWidth="1"/>
    <col min="11525" max="11525" width="5.19921875" style="115" bestFit="1" customWidth="1"/>
    <col min="11526" max="11526" width="9" style="115"/>
    <col min="11527" max="11527" width="11.8984375" style="115" customWidth="1"/>
    <col min="11528" max="11528" width="13.59765625" style="115" customWidth="1"/>
    <col min="11529" max="11529" width="12.69921875" style="115" customWidth="1"/>
    <col min="11530" max="11776" width="9" style="115"/>
    <col min="11777" max="11777" width="5" style="115" customWidth="1"/>
    <col min="11778" max="11778" width="17.8984375" style="115" bestFit="1" customWidth="1"/>
    <col min="11779" max="11779" width="23.59765625" style="115" customWidth="1"/>
    <col min="11780" max="11780" width="18.19921875" style="115" customWidth="1"/>
    <col min="11781" max="11781" width="5.19921875" style="115" bestFit="1" customWidth="1"/>
    <col min="11782" max="11782" width="9" style="115"/>
    <col min="11783" max="11783" width="11.8984375" style="115" customWidth="1"/>
    <col min="11784" max="11784" width="13.59765625" style="115" customWidth="1"/>
    <col min="11785" max="11785" width="12.69921875" style="115" customWidth="1"/>
    <col min="11786" max="12032" width="9" style="115"/>
    <col min="12033" max="12033" width="5" style="115" customWidth="1"/>
    <col min="12034" max="12034" width="17.8984375" style="115" bestFit="1" customWidth="1"/>
    <col min="12035" max="12035" width="23.59765625" style="115" customWidth="1"/>
    <col min="12036" max="12036" width="18.19921875" style="115" customWidth="1"/>
    <col min="12037" max="12037" width="5.19921875" style="115" bestFit="1" customWidth="1"/>
    <col min="12038" max="12038" width="9" style="115"/>
    <col min="12039" max="12039" width="11.8984375" style="115" customWidth="1"/>
    <col min="12040" max="12040" width="13.59765625" style="115" customWidth="1"/>
    <col min="12041" max="12041" width="12.69921875" style="115" customWidth="1"/>
    <col min="12042" max="12288" width="9" style="115"/>
    <col min="12289" max="12289" width="5" style="115" customWidth="1"/>
    <col min="12290" max="12290" width="17.8984375" style="115" bestFit="1" customWidth="1"/>
    <col min="12291" max="12291" width="23.59765625" style="115" customWidth="1"/>
    <col min="12292" max="12292" width="18.19921875" style="115" customWidth="1"/>
    <col min="12293" max="12293" width="5.19921875" style="115" bestFit="1" customWidth="1"/>
    <col min="12294" max="12294" width="9" style="115"/>
    <col min="12295" max="12295" width="11.8984375" style="115" customWidth="1"/>
    <col min="12296" max="12296" width="13.59765625" style="115" customWidth="1"/>
    <col min="12297" max="12297" width="12.69921875" style="115" customWidth="1"/>
    <col min="12298" max="12544" width="9" style="115"/>
    <col min="12545" max="12545" width="5" style="115" customWidth="1"/>
    <col min="12546" max="12546" width="17.8984375" style="115" bestFit="1" customWidth="1"/>
    <col min="12547" max="12547" width="23.59765625" style="115" customWidth="1"/>
    <col min="12548" max="12548" width="18.19921875" style="115" customWidth="1"/>
    <col min="12549" max="12549" width="5.19921875" style="115" bestFit="1" customWidth="1"/>
    <col min="12550" max="12550" width="9" style="115"/>
    <col min="12551" max="12551" width="11.8984375" style="115" customWidth="1"/>
    <col min="12552" max="12552" width="13.59765625" style="115" customWidth="1"/>
    <col min="12553" max="12553" width="12.69921875" style="115" customWidth="1"/>
    <col min="12554" max="12800" width="9" style="115"/>
    <col min="12801" max="12801" width="5" style="115" customWidth="1"/>
    <col min="12802" max="12802" width="17.8984375" style="115" bestFit="1" customWidth="1"/>
    <col min="12803" max="12803" width="23.59765625" style="115" customWidth="1"/>
    <col min="12804" max="12804" width="18.19921875" style="115" customWidth="1"/>
    <col min="12805" max="12805" width="5.19921875" style="115" bestFit="1" customWidth="1"/>
    <col min="12806" max="12806" width="9" style="115"/>
    <col min="12807" max="12807" width="11.8984375" style="115" customWidth="1"/>
    <col min="12808" max="12808" width="13.59765625" style="115" customWidth="1"/>
    <col min="12809" max="12809" width="12.69921875" style="115" customWidth="1"/>
    <col min="12810" max="13056" width="9" style="115"/>
    <col min="13057" max="13057" width="5" style="115" customWidth="1"/>
    <col min="13058" max="13058" width="17.8984375" style="115" bestFit="1" customWidth="1"/>
    <col min="13059" max="13059" width="23.59765625" style="115" customWidth="1"/>
    <col min="13060" max="13060" width="18.19921875" style="115" customWidth="1"/>
    <col min="13061" max="13061" width="5.19921875" style="115" bestFit="1" customWidth="1"/>
    <col min="13062" max="13062" width="9" style="115"/>
    <col min="13063" max="13063" width="11.8984375" style="115" customWidth="1"/>
    <col min="13064" max="13064" width="13.59765625" style="115" customWidth="1"/>
    <col min="13065" max="13065" width="12.69921875" style="115" customWidth="1"/>
    <col min="13066" max="13312" width="9" style="115"/>
    <col min="13313" max="13313" width="5" style="115" customWidth="1"/>
    <col min="13314" max="13314" width="17.8984375" style="115" bestFit="1" customWidth="1"/>
    <col min="13315" max="13315" width="23.59765625" style="115" customWidth="1"/>
    <col min="13316" max="13316" width="18.19921875" style="115" customWidth="1"/>
    <col min="13317" max="13317" width="5.19921875" style="115" bestFit="1" customWidth="1"/>
    <col min="13318" max="13318" width="9" style="115"/>
    <col min="13319" max="13319" width="11.8984375" style="115" customWidth="1"/>
    <col min="13320" max="13320" width="13.59765625" style="115" customWidth="1"/>
    <col min="13321" max="13321" width="12.69921875" style="115" customWidth="1"/>
    <col min="13322" max="13568" width="9" style="115"/>
    <col min="13569" max="13569" width="5" style="115" customWidth="1"/>
    <col min="13570" max="13570" width="17.8984375" style="115" bestFit="1" customWidth="1"/>
    <col min="13571" max="13571" width="23.59765625" style="115" customWidth="1"/>
    <col min="13572" max="13572" width="18.19921875" style="115" customWidth="1"/>
    <col min="13573" max="13573" width="5.19921875" style="115" bestFit="1" customWidth="1"/>
    <col min="13574" max="13574" width="9" style="115"/>
    <col min="13575" max="13575" width="11.8984375" style="115" customWidth="1"/>
    <col min="13576" max="13576" width="13.59765625" style="115" customWidth="1"/>
    <col min="13577" max="13577" width="12.69921875" style="115" customWidth="1"/>
    <col min="13578" max="13824" width="9" style="115"/>
    <col min="13825" max="13825" width="5" style="115" customWidth="1"/>
    <col min="13826" max="13826" width="17.8984375" style="115" bestFit="1" customWidth="1"/>
    <col min="13827" max="13827" width="23.59765625" style="115" customWidth="1"/>
    <col min="13828" max="13828" width="18.19921875" style="115" customWidth="1"/>
    <col min="13829" max="13829" width="5.19921875" style="115" bestFit="1" customWidth="1"/>
    <col min="13830" max="13830" width="9" style="115"/>
    <col min="13831" max="13831" width="11.8984375" style="115" customWidth="1"/>
    <col min="13832" max="13832" width="13.59765625" style="115" customWidth="1"/>
    <col min="13833" max="13833" width="12.69921875" style="115" customWidth="1"/>
    <col min="13834" max="14080" width="9" style="115"/>
    <col min="14081" max="14081" width="5" style="115" customWidth="1"/>
    <col min="14082" max="14082" width="17.8984375" style="115" bestFit="1" customWidth="1"/>
    <col min="14083" max="14083" width="23.59765625" style="115" customWidth="1"/>
    <col min="14084" max="14084" width="18.19921875" style="115" customWidth="1"/>
    <col min="14085" max="14085" width="5.19921875" style="115" bestFit="1" customWidth="1"/>
    <col min="14086" max="14086" width="9" style="115"/>
    <col min="14087" max="14087" width="11.8984375" style="115" customWidth="1"/>
    <col min="14088" max="14088" width="13.59765625" style="115" customWidth="1"/>
    <col min="14089" max="14089" width="12.69921875" style="115" customWidth="1"/>
    <col min="14090" max="14336" width="9" style="115"/>
    <col min="14337" max="14337" width="5" style="115" customWidth="1"/>
    <col min="14338" max="14338" width="17.8984375" style="115" bestFit="1" customWidth="1"/>
    <col min="14339" max="14339" width="23.59765625" style="115" customWidth="1"/>
    <col min="14340" max="14340" width="18.19921875" style="115" customWidth="1"/>
    <col min="14341" max="14341" width="5.19921875" style="115" bestFit="1" customWidth="1"/>
    <col min="14342" max="14342" width="9" style="115"/>
    <col min="14343" max="14343" width="11.8984375" style="115" customWidth="1"/>
    <col min="14344" max="14344" width="13.59765625" style="115" customWidth="1"/>
    <col min="14345" max="14345" width="12.69921875" style="115" customWidth="1"/>
    <col min="14346" max="14592" width="9" style="115"/>
    <col min="14593" max="14593" width="5" style="115" customWidth="1"/>
    <col min="14594" max="14594" width="17.8984375" style="115" bestFit="1" customWidth="1"/>
    <col min="14595" max="14595" width="23.59765625" style="115" customWidth="1"/>
    <col min="14596" max="14596" width="18.19921875" style="115" customWidth="1"/>
    <col min="14597" max="14597" width="5.19921875" style="115" bestFit="1" customWidth="1"/>
    <col min="14598" max="14598" width="9" style="115"/>
    <col min="14599" max="14599" width="11.8984375" style="115" customWidth="1"/>
    <col min="14600" max="14600" width="13.59765625" style="115" customWidth="1"/>
    <col min="14601" max="14601" width="12.69921875" style="115" customWidth="1"/>
    <col min="14602" max="14848" width="9" style="115"/>
    <col min="14849" max="14849" width="5" style="115" customWidth="1"/>
    <col min="14850" max="14850" width="17.8984375" style="115" bestFit="1" customWidth="1"/>
    <col min="14851" max="14851" width="23.59765625" style="115" customWidth="1"/>
    <col min="14852" max="14852" width="18.19921875" style="115" customWidth="1"/>
    <col min="14853" max="14853" width="5.19921875" style="115" bestFit="1" customWidth="1"/>
    <col min="14854" max="14854" width="9" style="115"/>
    <col min="14855" max="14855" width="11.8984375" style="115" customWidth="1"/>
    <col min="14856" max="14856" width="13.59765625" style="115" customWidth="1"/>
    <col min="14857" max="14857" width="12.69921875" style="115" customWidth="1"/>
    <col min="14858" max="15104" width="9" style="115"/>
    <col min="15105" max="15105" width="5" style="115" customWidth="1"/>
    <col min="15106" max="15106" width="17.8984375" style="115" bestFit="1" customWidth="1"/>
    <col min="15107" max="15107" width="23.59765625" style="115" customWidth="1"/>
    <col min="15108" max="15108" width="18.19921875" style="115" customWidth="1"/>
    <col min="15109" max="15109" width="5.19921875" style="115" bestFit="1" customWidth="1"/>
    <col min="15110" max="15110" width="9" style="115"/>
    <col min="15111" max="15111" width="11.8984375" style="115" customWidth="1"/>
    <col min="15112" max="15112" width="13.59765625" style="115" customWidth="1"/>
    <col min="15113" max="15113" width="12.69921875" style="115" customWidth="1"/>
    <col min="15114" max="15360" width="9" style="115"/>
    <col min="15361" max="15361" width="5" style="115" customWidth="1"/>
    <col min="15362" max="15362" width="17.8984375" style="115" bestFit="1" customWidth="1"/>
    <col min="15363" max="15363" width="23.59765625" style="115" customWidth="1"/>
    <col min="15364" max="15364" width="18.19921875" style="115" customWidth="1"/>
    <col min="15365" max="15365" width="5.19921875" style="115" bestFit="1" customWidth="1"/>
    <col min="15366" max="15366" width="9" style="115"/>
    <col min="15367" max="15367" width="11.8984375" style="115" customWidth="1"/>
    <col min="15368" max="15368" width="13.59765625" style="115" customWidth="1"/>
    <col min="15369" max="15369" width="12.69921875" style="115" customWidth="1"/>
    <col min="15370" max="15616" width="9" style="115"/>
    <col min="15617" max="15617" width="5" style="115" customWidth="1"/>
    <col min="15618" max="15618" width="17.8984375" style="115" bestFit="1" customWidth="1"/>
    <col min="15619" max="15619" width="23.59765625" style="115" customWidth="1"/>
    <col min="15620" max="15620" width="18.19921875" style="115" customWidth="1"/>
    <col min="15621" max="15621" width="5.19921875" style="115" bestFit="1" customWidth="1"/>
    <col min="15622" max="15622" width="9" style="115"/>
    <col min="15623" max="15623" width="11.8984375" style="115" customWidth="1"/>
    <col min="15624" max="15624" width="13.59765625" style="115" customWidth="1"/>
    <col min="15625" max="15625" width="12.69921875" style="115" customWidth="1"/>
    <col min="15626" max="15872" width="9" style="115"/>
    <col min="15873" max="15873" width="5" style="115" customWidth="1"/>
    <col min="15874" max="15874" width="17.8984375" style="115" bestFit="1" customWidth="1"/>
    <col min="15875" max="15875" width="23.59765625" style="115" customWidth="1"/>
    <col min="15876" max="15876" width="18.19921875" style="115" customWidth="1"/>
    <col min="15877" max="15877" width="5.19921875" style="115" bestFit="1" customWidth="1"/>
    <col min="15878" max="15878" width="9" style="115"/>
    <col min="15879" max="15879" width="11.8984375" style="115" customWidth="1"/>
    <col min="15880" max="15880" width="13.59765625" style="115" customWidth="1"/>
    <col min="15881" max="15881" width="12.69921875" style="115" customWidth="1"/>
    <col min="15882" max="16128" width="9" style="115"/>
    <col min="16129" max="16129" width="5" style="115" customWidth="1"/>
    <col min="16130" max="16130" width="17.8984375" style="115" bestFit="1" customWidth="1"/>
    <col min="16131" max="16131" width="23.59765625" style="115" customWidth="1"/>
    <col min="16132" max="16132" width="18.19921875" style="115" customWidth="1"/>
    <col min="16133" max="16133" width="5.19921875" style="115" bestFit="1" customWidth="1"/>
    <col min="16134" max="16134" width="9" style="115"/>
    <col min="16135" max="16135" width="11.8984375" style="115" customWidth="1"/>
    <col min="16136" max="16136" width="13.59765625" style="115" customWidth="1"/>
    <col min="16137" max="16137" width="12.69921875" style="115" customWidth="1"/>
    <col min="16138" max="16384" width="9" style="115"/>
  </cols>
  <sheetData>
    <row r="1" spans="1:9" ht="22.5" customHeight="1">
      <c r="B1" s="187" t="s">
        <v>143</v>
      </c>
      <c r="C1" s="261"/>
      <c r="F1" s="262"/>
      <c r="I1" s="115" t="s">
        <v>114</v>
      </c>
    </row>
    <row r="2" spans="1:9" s="121" customFormat="1" ht="16.5" customHeight="1">
      <c r="A2" s="431" t="s">
        <v>115</v>
      </c>
      <c r="B2" s="525"/>
      <c r="C2" s="122" t="s">
        <v>116</v>
      </c>
      <c r="D2" s="116" t="s">
        <v>117</v>
      </c>
      <c r="E2" s="116" t="s">
        <v>36</v>
      </c>
      <c r="F2" s="240" t="s">
        <v>37</v>
      </c>
      <c r="G2" s="240" t="s">
        <v>118</v>
      </c>
      <c r="H2" s="240" t="s">
        <v>119</v>
      </c>
      <c r="I2" s="116" t="s">
        <v>120</v>
      </c>
    </row>
    <row r="3" spans="1:9" ht="15.9" customHeight="1">
      <c r="A3" s="526" t="s">
        <v>121</v>
      </c>
      <c r="B3" s="193" t="s">
        <v>122</v>
      </c>
      <c r="C3" s="200"/>
      <c r="D3" s="264"/>
      <c r="E3" s="201"/>
      <c r="F3" s="202"/>
      <c r="G3" s="203"/>
      <c r="H3" s="221">
        <f>IF(F3=0,G3,G3*F3)</f>
        <v>0</v>
      </c>
      <c r="I3" s="25"/>
    </row>
    <row r="4" spans="1:9" ht="15.9" customHeight="1">
      <c r="A4" s="530"/>
      <c r="B4" s="193"/>
      <c r="C4" s="267"/>
      <c r="D4" s="267"/>
      <c r="E4" s="201"/>
      <c r="F4" s="202"/>
      <c r="G4" s="203"/>
      <c r="H4" s="160">
        <f>IF(F4=0,G4,G4*F4)</f>
        <v>0</v>
      </c>
      <c r="I4" s="25"/>
    </row>
    <row r="5" spans="1:9" ht="15.9" customHeight="1">
      <c r="A5" s="530"/>
      <c r="B5" s="193"/>
      <c r="C5" s="200"/>
      <c r="D5" s="200"/>
      <c r="E5" s="201"/>
      <c r="F5" s="268"/>
      <c r="G5" s="203"/>
      <c r="H5" s="160">
        <f t="shared" ref="H5" si="0">F5*G5</f>
        <v>0</v>
      </c>
      <c r="I5" s="25"/>
    </row>
    <row r="6" spans="1:9" ht="15.9" customHeight="1">
      <c r="A6" s="530"/>
      <c r="B6" s="193"/>
      <c r="C6" s="200"/>
      <c r="D6" s="200"/>
      <c r="E6" s="201"/>
      <c r="F6" s="268"/>
      <c r="G6" s="203"/>
      <c r="H6" s="160">
        <f t="shared" ref="H6:H33" si="1">IF(F6=0,G6,G6*F6)</f>
        <v>0</v>
      </c>
      <c r="I6" s="25"/>
    </row>
    <row r="7" spans="1:9" ht="15.9" customHeight="1">
      <c r="A7" s="530"/>
      <c r="B7" s="193"/>
      <c r="C7" s="200"/>
      <c r="D7" s="200"/>
      <c r="E7" s="201"/>
      <c r="F7" s="202"/>
      <c r="G7" s="203"/>
      <c r="H7" s="160">
        <f t="shared" si="1"/>
        <v>0</v>
      </c>
      <c r="I7" s="25"/>
    </row>
    <row r="8" spans="1:9" ht="15.9" customHeight="1">
      <c r="A8" s="530"/>
      <c r="B8" s="193"/>
      <c r="C8" s="200"/>
      <c r="D8" s="200"/>
      <c r="E8" s="201"/>
      <c r="F8" s="202"/>
      <c r="G8" s="203"/>
      <c r="H8" s="160">
        <f t="shared" si="1"/>
        <v>0</v>
      </c>
      <c r="I8" s="25"/>
    </row>
    <row r="9" spans="1:9" ht="15.9" customHeight="1">
      <c r="A9" s="530"/>
      <c r="B9" s="193"/>
      <c r="C9" s="200"/>
      <c r="D9" s="200"/>
      <c r="E9" s="201"/>
      <c r="F9" s="202"/>
      <c r="G9" s="203"/>
      <c r="H9" s="160">
        <f t="shared" si="1"/>
        <v>0</v>
      </c>
      <c r="I9" s="25"/>
    </row>
    <row r="10" spans="1:9" ht="15.9" customHeight="1">
      <c r="A10" s="530"/>
      <c r="B10" s="193"/>
      <c r="C10" s="200"/>
      <c r="D10" s="200"/>
      <c r="E10" s="201"/>
      <c r="F10" s="203"/>
      <c r="G10" s="203"/>
      <c r="H10" s="160">
        <f t="shared" si="1"/>
        <v>0</v>
      </c>
      <c r="I10" s="25"/>
    </row>
    <row r="11" spans="1:9" ht="15.9" customHeight="1">
      <c r="A11" s="530"/>
      <c r="B11" s="193"/>
      <c r="C11" s="204"/>
      <c r="D11" s="205"/>
      <c r="E11" s="205"/>
      <c r="F11" s="206"/>
      <c r="G11" s="207"/>
      <c r="H11" s="227">
        <f t="shared" si="1"/>
        <v>0</v>
      </c>
      <c r="I11" s="228"/>
    </row>
    <row r="12" spans="1:9" ht="15.9" customHeight="1">
      <c r="A12" s="530"/>
      <c r="B12" s="209"/>
      <c r="C12" s="235"/>
      <c r="D12" s="235"/>
      <c r="E12" s="235"/>
      <c r="F12" s="233"/>
      <c r="G12" s="233"/>
      <c r="H12" s="234">
        <f>SUM(H3:H11)</f>
        <v>0</v>
      </c>
      <c r="I12" s="235"/>
    </row>
    <row r="13" spans="1:9" ht="15.9" customHeight="1">
      <c r="A13" s="530"/>
      <c r="B13" s="193" t="s">
        <v>144</v>
      </c>
      <c r="C13" s="194"/>
      <c r="D13" s="194"/>
      <c r="E13" s="195"/>
      <c r="F13" s="196"/>
      <c r="G13" s="197"/>
      <c r="H13" s="198">
        <f t="shared" si="1"/>
        <v>0</v>
      </c>
      <c r="I13" s="199"/>
    </row>
    <row r="14" spans="1:9" ht="15.9" customHeight="1">
      <c r="A14" s="530"/>
      <c r="B14" s="193" t="s">
        <v>145</v>
      </c>
      <c r="C14" s="200"/>
      <c r="D14" s="200"/>
      <c r="E14" s="200"/>
      <c r="F14" s="203"/>
      <c r="G14" s="203"/>
      <c r="H14" s="160">
        <f t="shared" si="1"/>
        <v>0</v>
      </c>
      <c r="I14" s="25"/>
    </row>
    <row r="15" spans="1:9" ht="15.9" customHeight="1">
      <c r="A15" s="530"/>
      <c r="B15" s="193"/>
      <c r="C15" s="200"/>
      <c r="D15" s="200"/>
      <c r="E15" s="200"/>
      <c r="F15" s="203"/>
      <c r="G15" s="203"/>
      <c r="H15" s="160">
        <f t="shared" si="1"/>
        <v>0</v>
      </c>
      <c r="I15" s="25"/>
    </row>
    <row r="16" spans="1:9" ht="15.9" customHeight="1">
      <c r="A16" s="530"/>
      <c r="B16" s="193"/>
      <c r="C16" s="200"/>
      <c r="D16" s="200"/>
      <c r="E16" s="200"/>
      <c r="F16" s="203"/>
      <c r="G16" s="203"/>
      <c r="H16" s="160">
        <f t="shared" si="1"/>
        <v>0</v>
      </c>
      <c r="I16" s="25"/>
    </row>
    <row r="17" spans="1:9" ht="15.9" customHeight="1">
      <c r="A17" s="530"/>
      <c r="B17" s="193"/>
      <c r="C17" s="204"/>
      <c r="D17" s="204"/>
      <c r="E17" s="204"/>
      <c r="F17" s="207"/>
      <c r="G17" s="207"/>
      <c r="H17" s="160">
        <f t="shared" si="1"/>
        <v>0</v>
      </c>
      <c r="I17" s="208"/>
    </row>
    <row r="18" spans="1:9" ht="15.9" customHeight="1">
      <c r="A18" s="530"/>
      <c r="B18" s="209"/>
      <c r="C18" s="210"/>
      <c r="D18" s="211"/>
      <c r="E18" s="211"/>
      <c r="F18" s="270"/>
      <c r="G18" s="213"/>
      <c r="H18" s="214">
        <f>SUM(H13:H17)</f>
        <v>0</v>
      </c>
      <c r="I18" s="215"/>
    </row>
    <row r="19" spans="1:9" ht="15.9" customHeight="1">
      <c r="A19" s="530"/>
      <c r="B19" s="236" t="s">
        <v>146</v>
      </c>
      <c r="C19" s="267"/>
      <c r="D19" s="267"/>
      <c r="E19" s="264"/>
      <c r="F19" s="271"/>
      <c r="G19" s="269"/>
      <c r="H19" s="221">
        <f t="shared" si="1"/>
        <v>0</v>
      </c>
      <c r="I19" s="222"/>
    </row>
    <row r="20" spans="1:9" ht="15.9" customHeight="1">
      <c r="A20" s="530"/>
      <c r="B20" s="193" t="s">
        <v>147</v>
      </c>
      <c r="C20" s="267"/>
      <c r="D20" s="267"/>
      <c r="E20" s="264"/>
      <c r="F20" s="271"/>
      <c r="G20" s="269"/>
      <c r="H20" s="160">
        <f t="shared" si="1"/>
        <v>0</v>
      </c>
      <c r="I20" s="272"/>
    </row>
    <row r="21" spans="1:9" ht="15.9" customHeight="1">
      <c r="A21" s="530"/>
      <c r="B21" s="193"/>
      <c r="C21" s="267"/>
      <c r="D21" s="267"/>
      <c r="E21" s="264"/>
      <c r="F21" s="271"/>
      <c r="G21" s="269"/>
      <c r="H21" s="160">
        <f t="shared" si="1"/>
        <v>0</v>
      </c>
      <c r="I21" s="272"/>
    </row>
    <row r="22" spans="1:9" ht="15.9" customHeight="1">
      <c r="A22" s="530"/>
      <c r="B22" s="193"/>
      <c r="C22" s="267"/>
      <c r="D22" s="267"/>
      <c r="E22" s="264"/>
      <c r="F22" s="271"/>
      <c r="G22" s="269"/>
      <c r="H22" s="160">
        <f t="shared" si="1"/>
        <v>0</v>
      </c>
      <c r="I22" s="272"/>
    </row>
    <row r="23" spans="1:9" ht="15.9" customHeight="1">
      <c r="A23" s="530"/>
      <c r="B23" s="193"/>
      <c r="C23" s="200"/>
      <c r="D23" s="267"/>
      <c r="E23" s="264"/>
      <c r="F23" s="268"/>
      <c r="G23" s="203"/>
      <c r="H23" s="160">
        <f t="shared" si="1"/>
        <v>0</v>
      </c>
      <c r="I23" s="25"/>
    </row>
    <row r="24" spans="1:9" ht="15.9" customHeight="1">
      <c r="A24" s="530"/>
      <c r="B24" s="193"/>
      <c r="C24" s="200"/>
      <c r="D24" s="267"/>
      <c r="E24" s="264"/>
      <c r="F24" s="268"/>
      <c r="G24" s="203"/>
      <c r="H24" s="160">
        <f t="shared" si="1"/>
        <v>0</v>
      </c>
      <c r="I24" s="25"/>
    </row>
    <row r="25" spans="1:9" ht="15.9" customHeight="1">
      <c r="A25" s="530"/>
      <c r="B25" s="193"/>
      <c r="C25" s="200"/>
      <c r="D25" s="267"/>
      <c r="E25" s="264"/>
      <c r="F25" s="268"/>
      <c r="G25" s="203"/>
      <c r="H25" s="160">
        <f t="shared" si="1"/>
        <v>0</v>
      </c>
      <c r="I25" s="25"/>
    </row>
    <row r="26" spans="1:9" ht="15.9" customHeight="1">
      <c r="A26" s="530"/>
      <c r="B26" s="193"/>
      <c r="C26" s="200"/>
      <c r="D26" s="267"/>
      <c r="E26" s="264"/>
      <c r="F26" s="268"/>
      <c r="G26" s="203"/>
      <c r="H26" s="160">
        <f t="shared" si="1"/>
        <v>0</v>
      </c>
      <c r="I26" s="25"/>
    </row>
    <row r="27" spans="1:9" ht="15.9" customHeight="1">
      <c r="A27" s="530"/>
      <c r="B27" s="193"/>
      <c r="C27" s="224"/>
      <c r="D27" s="278"/>
      <c r="E27" s="305"/>
      <c r="F27" s="306"/>
      <c r="G27" s="226"/>
      <c r="H27" s="227">
        <f t="shared" si="1"/>
        <v>0</v>
      </c>
      <c r="I27" s="228"/>
    </row>
    <row r="28" spans="1:9" ht="15.9" customHeight="1">
      <c r="A28" s="530"/>
      <c r="B28" s="209"/>
      <c r="C28" s="239"/>
      <c r="D28" s="215"/>
      <c r="E28" s="215"/>
      <c r="F28" s="214"/>
      <c r="G28" s="214"/>
      <c r="H28" s="214">
        <f>SUM(H19:H27)</f>
        <v>0</v>
      </c>
      <c r="I28" s="215"/>
    </row>
    <row r="29" spans="1:9" ht="15.9" customHeight="1">
      <c r="A29" s="530"/>
      <c r="B29" s="236" t="s">
        <v>49</v>
      </c>
      <c r="C29" s="200"/>
      <c r="D29" s="264"/>
      <c r="E29" s="264"/>
      <c r="F29" s="268"/>
      <c r="G29" s="203"/>
      <c r="H29" s="221">
        <f t="shared" si="1"/>
        <v>0</v>
      </c>
      <c r="I29" s="222"/>
    </row>
    <row r="30" spans="1:9" ht="15.9" customHeight="1">
      <c r="A30" s="530"/>
      <c r="B30" s="193"/>
      <c r="C30" s="200"/>
      <c r="D30" s="264"/>
      <c r="E30" s="264"/>
      <c r="F30" s="268"/>
      <c r="G30" s="203"/>
      <c r="H30" s="160">
        <f t="shared" si="1"/>
        <v>0</v>
      </c>
      <c r="I30" s="25"/>
    </row>
    <row r="31" spans="1:9" ht="15.9" customHeight="1">
      <c r="A31" s="530"/>
      <c r="B31" s="193"/>
      <c r="C31" s="200"/>
      <c r="D31" s="200"/>
      <c r="E31" s="201"/>
      <c r="F31" s="202"/>
      <c r="G31" s="203"/>
      <c r="H31" s="160">
        <f t="shared" si="1"/>
        <v>0</v>
      </c>
      <c r="I31" s="25"/>
    </row>
    <row r="32" spans="1:9" ht="15.9" customHeight="1">
      <c r="A32" s="530"/>
      <c r="B32" s="193"/>
      <c r="C32" s="200"/>
      <c r="D32" s="200"/>
      <c r="E32" s="201"/>
      <c r="F32" s="202"/>
      <c r="G32" s="203"/>
      <c r="H32" s="160">
        <f t="shared" si="1"/>
        <v>0</v>
      </c>
      <c r="I32" s="25"/>
    </row>
    <row r="33" spans="1:9" ht="15.9" customHeight="1">
      <c r="A33" s="530"/>
      <c r="B33" s="193"/>
      <c r="C33" s="224"/>
      <c r="D33" s="305"/>
      <c r="E33" s="305"/>
      <c r="F33" s="306"/>
      <c r="G33" s="226"/>
      <c r="H33" s="227">
        <f t="shared" si="1"/>
        <v>0</v>
      </c>
      <c r="I33" s="228"/>
    </row>
    <row r="34" spans="1:9" ht="15.9" customHeight="1">
      <c r="A34" s="530"/>
      <c r="B34" s="209"/>
      <c r="C34" s="239"/>
      <c r="D34" s="215"/>
      <c r="E34" s="215"/>
      <c r="F34" s="214"/>
      <c r="G34" s="214"/>
      <c r="H34" s="214">
        <f>SUM(H29:H33)</f>
        <v>0</v>
      </c>
      <c r="I34" s="215"/>
    </row>
    <row r="35" spans="1:9" ht="15.9" customHeight="1">
      <c r="A35" s="237"/>
      <c r="B35" s="238" t="s">
        <v>129</v>
      </c>
      <c r="C35" s="239"/>
      <c r="D35" s="215"/>
      <c r="E35" s="215"/>
      <c r="F35" s="241"/>
      <c r="G35" s="241"/>
      <c r="H35" s="214">
        <f>SUM(H34,H28,H18,H12)</f>
        <v>0</v>
      </c>
      <c r="I35" s="215"/>
    </row>
    <row r="36" spans="1:9" ht="15.9" customHeight="1">
      <c r="A36" s="531" t="s">
        <v>130</v>
      </c>
      <c r="B36" s="242" t="s">
        <v>55</v>
      </c>
      <c r="C36" s="239"/>
      <c r="D36" s="215"/>
      <c r="E36" s="243" t="s">
        <v>56</v>
      </c>
      <c r="F36" s="259"/>
      <c r="G36" s="245"/>
      <c r="H36" s="246">
        <f>F36*G36</f>
        <v>0</v>
      </c>
      <c r="I36" s="215"/>
    </row>
    <row r="37" spans="1:9" ht="15.9" customHeight="1">
      <c r="A37" s="530"/>
      <c r="B37" s="247" t="s">
        <v>148</v>
      </c>
      <c r="C37" s="287"/>
      <c r="D37" s="288"/>
      <c r="E37" s="368" t="s">
        <v>132</v>
      </c>
      <c r="F37" s="274"/>
      <c r="G37" s="220"/>
      <c r="H37" s="221">
        <f t="shared" ref="H37:H43" si="2">F37*G37</f>
        <v>0</v>
      </c>
      <c r="I37" s="222"/>
    </row>
    <row r="38" spans="1:9" ht="15.9" customHeight="1">
      <c r="A38" s="530"/>
      <c r="B38" s="281" t="s">
        <v>149</v>
      </c>
      <c r="C38" s="290"/>
      <c r="D38" s="267"/>
      <c r="E38" s="369" t="s">
        <v>132</v>
      </c>
      <c r="F38" s="275"/>
      <c r="G38" s="203"/>
      <c r="H38" s="160">
        <f t="shared" si="2"/>
        <v>0</v>
      </c>
      <c r="I38" s="25"/>
    </row>
    <row r="39" spans="1:9" ht="15.9" customHeight="1">
      <c r="A39" s="530"/>
      <c r="B39" s="250" t="s">
        <v>150</v>
      </c>
      <c r="C39" s="290"/>
      <c r="D39" s="267"/>
      <c r="E39" s="369" t="s">
        <v>132</v>
      </c>
      <c r="F39" s="275"/>
      <c r="G39" s="203"/>
      <c r="H39" s="160">
        <f t="shared" si="2"/>
        <v>0</v>
      </c>
      <c r="I39" s="25"/>
    </row>
    <row r="40" spans="1:9" ht="15.9" customHeight="1">
      <c r="A40" s="530"/>
      <c r="B40" s="250" t="s">
        <v>151</v>
      </c>
      <c r="C40" s="290"/>
      <c r="D40" s="267"/>
      <c r="E40" s="369" t="s">
        <v>132</v>
      </c>
      <c r="F40" s="275"/>
      <c r="G40" s="203"/>
      <c r="H40" s="160">
        <f t="shared" si="2"/>
        <v>0</v>
      </c>
      <c r="I40" s="25"/>
    </row>
    <row r="41" spans="1:9" ht="15.9" customHeight="1">
      <c r="A41" s="530"/>
      <c r="B41" s="250" t="s">
        <v>152</v>
      </c>
      <c r="C41" s="290"/>
      <c r="D41" s="267"/>
      <c r="E41" s="369" t="s">
        <v>132</v>
      </c>
      <c r="F41" s="275"/>
      <c r="G41" s="203"/>
      <c r="H41" s="160">
        <f t="shared" si="2"/>
        <v>0</v>
      </c>
      <c r="I41" s="25"/>
    </row>
    <row r="42" spans="1:9" ht="15.9" customHeight="1">
      <c r="A42" s="530"/>
      <c r="B42" s="250" t="s">
        <v>153</v>
      </c>
      <c r="C42" s="290"/>
      <c r="D42" s="267"/>
      <c r="E42" s="369" t="s">
        <v>132</v>
      </c>
      <c r="F42" s="291"/>
      <c r="G42" s="203"/>
      <c r="H42" s="160">
        <f t="shared" si="2"/>
        <v>0</v>
      </c>
      <c r="I42" s="25"/>
    </row>
    <row r="43" spans="1:9" ht="15.9" customHeight="1">
      <c r="A43" s="530"/>
      <c r="B43" s="253" t="s">
        <v>157</v>
      </c>
      <c r="C43" s="292"/>
      <c r="D43" s="293"/>
      <c r="E43" s="370" t="s">
        <v>132</v>
      </c>
      <c r="F43" s="294"/>
      <c r="G43" s="207"/>
      <c r="H43" s="161">
        <f t="shared" si="2"/>
        <v>0</v>
      </c>
      <c r="I43" s="208"/>
    </row>
    <row r="44" spans="1:9" ht="15.9" customHeight="1">
      <c r="A44" s="237"/>
      <c r="B44" s="256" t="s">
        <v>138</v>
      </c>
      <c r="C44" s="239"/>
      <c r="D44" s="215"/>
      <c r="E44" s="215"/>
      <c r="F44" s="213"/>
      <c r="G44" s="213"/>
      <c r="H44" s="213">
        <f>SUM(H36:H43)</f>
        <v>0</v>
      </c>
      <c r="I44" s="211"/>
    </row>
    <row r="45" spans="1:9" ht="15.9" customHeight="1">
      <c r="A45" s="243"/>
      <c r="B45" s="256" t="s">
        <v>155</v>
      </c>
      <c r="C45" s="239"/>
      <c r="D45" s="215"/>
      <c r="E45" s="215"/>
      <c r="F45" s="214"/>
      <c r="G45" s="214"/>
      <c r="H45" s="241">
        <f>'단위공사별(집계)'!L21+'단위공사별(집계)'!I21</f>
        <v>0</v>
      </c>
      <c r="I45" s="215"/>
    </row>
    <row r="46" spans="1:9" ht="15.9" customHeight="1">
      <c r="A46" s="243"/>
      <c r="B46" s="256" t="s">
        <v>80</v>
      </c>
      <c r="C46" s="239"/>
      <c r="D46" s="215"/>
      <c r="E46" s="215"/>
      <c r="F46" s="214"/>
      <c r="G46" s="258"/>
      <c r="H46" s="259"/>
      <c r="I46" s="239"/>
    </row>
    <row r="47" spans="1:9" ht="15.9" customHeight="1">
      <c r="A47" s="243"/>
      <c r="B47" s="256" t="s">
        <v>141</v>
      </c>
      <c r="C47" s="239"/>
      <c r="D47" s="215"/>
      <c r="E47" s="215"/>
      <c r="F47" s="214"/>
      <c r="G47" s="258"/>
      <c r="H47" s="259"/>
      <c r="I47" s="239"/>
    </row>
    <row r="48" spans="1:9" ht="15.9" customHeight="1">
      <c r="A48" s="243"/>
      <c r="B48" s="256" t="s">
        <v>142</v>
      </c>
      <c r="C48" s="239"/>
      <c r="D48" s="215"/>
      <c r="E48" s="215"/>
      <c r="F48" s="214"/>
      <c r="G48" s="214"/>
      <c r="H48" s="213">
        <f>H35+H44+H45+H46+H47</f>
        <v>0</v>
      </c>
      <c r="I48" s="215"/>
    </row>
    <row r="49" spans="1:1">
      <c r="A49" s="121"/>
    </row>
  </sheetData>
  <mergeCells count="3">
    <mergeCell ref="A2:B2"/>
    <mergeCell ref="A3:A34"/>
    <mergeCell ref="A36:A4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pageSetUpPr fitToPage="1"/>
  </sheetPr>
  <dimension ref="A1:D36"/>
  <sheetViews>
    <sheetView zoomScale="85" workbookViewId="0">
      <selection activeCell="K5" sqref="K5"/>
    </sheetView>
  </sheetViews>
  <sheetFormatPr defaultColWidth="9" defaultRowHeight="17.25" customHeight="1"/>
  <cols>
    <col min="1" max="1" width="16.5" style="115" customWidth="1"/>
    <col min="2" max="3" width="27.59765625" style="115" customWidth="1"/>
    <col min="4" max="4" width="11.5" style="115" customWidth="1"/>
    <col min="5" max="256" width="9" style="115"/>
    <col min="257" max="257" width="16.5" style="115" customWidth="1"/>
    <col min="258" max="259" width="27.59765625" style="115" customWidth="1"/>
    <col min="260" max="260" width="11.5" style="115" customWidth="1"/>
    <col min="261" max="512" width="9" style="115"/>
    <col min="513" max="513" width="16.5" style="115" customWidth="1"/>
    <col min="514" max="515" width="27.59765625" style="115" customWidth="1"/>
    <col min="516" max="516" width="11.5" style="115" customWidth="1"/>
    <col min="517" max="768" width="9" style="115"/>
    <col min="769" max="769" width="16.5" style="115" customWidth="1"/>
    <col min="770" max="771" width="27.59765625" style="115" customWidth="1"/>
    <col min="772" max="772" width="11.5" style="115" customWidth="1"/>
    <col min="773" max="1024" width="9" style="115"/>
    <col min="1025" max="1025" width="16.5" style="115" customWidth="1"/>
    <col min="1026" max="1027" width="27.59765625" style="115" customWidth="1"/>
    <col min="1028" max="1028" width="11.5" style="115" customWidth="1"/>
    <col min="1029" max="1280" width="9" style="115"/>
    <col min="1281" max="1281" width="16.5" style="115" customWidth="1"/>
    <col min="1282" max="1283" width="27.59765625" style="115" customWidth="1"/>
    <col min="1284" max="1284" width="11.5" style="115" customWidth="1"/>
    <col min="1285" max="1536" width="9" style="115"/>
    <col min="1537" max="1537" width="16.5" style="115" customWidth="1"/>
    <col min="1538" max="1539" width="27.59765625" style="115" customWidth="1"/>
    <col min="1540" max="1540" width="11.5" style="115" customWidth="1"/>
    <col min="1541" max="1792" width="9" style="115"/>
    <col min="1793" max="1793" width="16.5" style="115" customWidth="1"/>
    <col min="1794" max="1795" width="27.59765625" style="115" customWidth="1"/>
    <col min="1796" max="1796" width="11.5" style="115" customWidth="1"/>
    <col min="1797" max="2048" width="9" style="115"/>
    <col min="2049" max="2049" width="16.5" style="115" customWidth="1"/>
    <col min="2050" max="2051" width="27.59765625" style="115" customWidth="1"/>
    <col min="2052" max="2052" width="11.5" style="115" customWidth="1"/>
    <col min="2053" max="2304" width="9" style="115"/>
    <col min="2305" max="2305" width="16.5" style="115" customWidth="1"/>
    <col min="2306" max="2307" width="27.59765625" style="115" customWidth="1"/>
    <col min="2308" max="2308" width="11.5" style="115" customWidth="1"/>
    <col min="2309" max="2560" width="9" style="115"/>
    <col min="2561" max="2561" width="16.5" style="115" customWidth="1"/>
    <col min="2562" max="2563" width="27.59765625" style="115" customWidth="1"/>
    <col min="2564" max="2564" width="11.5" style="115" customWidth="1"/>
    <col min="2565" max="2816" width="9" style="115"/>
    <col min="2817" max="2817" width="16.5" style="115" customWidth="1"/>
    <col min="2818" max="2819" width="27.59765625" style="115" customWidth="1"/>
    <col min="2820" max="2820" width="11.5" style="115" customWidth="1"/>
    <col min="2821" max="3072" width="9" style="115"/>
    <col min="3073" max="3073" width="16.5" style="115" customWidth="1"/>
    <col min="3074" max="3075" width="27.59765625" style="115" customWidth="1"/>
    <col min="3076" max="3076" width="11.5" style="115" customWidth="1"/>
    <col min="3077" max="3328" width="9" style="115"/>
    <col min="3329" max="3329" width="16.5" style="115" customWidth="1"/>
    <col min="3330" max="3331" width="27.59765625" style="115" customWidth="1"/>
    <col min="3332" max="3332" width="11.5" style="115" customWidth="1"/>
    <col min="3333" max="3584" width="9" style="115"/>
    <col min="3585" max="3585" width="16.5" style="115" customWidth="1"/>
    <col min="3586" max="3587" width="27.59765625" style="115" customWidth="1"/>
    <col min="3588" max="3588" width="11.5" style="115" customWidth="1"/>
    <col min="3589" max="3840" width="9" style="115"/>
    <col min="3841" max="3841" width="16.5" style="115" customWidth="1"/>
    <col min="3842" max="3843" width="27.59765625" style="115" customWidth="1"/>
    <col min="3844" max="3844" width="11.5" style="115" customWidth="1"/>
    <col min="3845" max="4096" width="9" style="115"/>
    <col min="4097" max="4097" width="16.5" style="115" customWidth="1"/>
    <col min="4098" max="4099" width="27.59765625" style="115" customWidth="1"/>
    <col min="4100" max="4100" width="11.5" style="115" customWidth="1"/>
    <col min="4101" max="4352" width="9" style="115"/>
    <col min="4353" max="4353" width="16.5" style="115" customWidth="1"/>
    <col min="4354" max="4355" width="27.59765625" style="115" customWidth="1"/>
    <col min="4356" max="4356" width="11.5" style="115" customWidth="1"/>
    <col min="4357" max="4608" width="9" style="115"/>
    <col min="4609" max="4609" width="16.5" style="115" customWidth="1"/>
    <col min="4610" max="4611" width="27.59765625" style="115" customWidth="1"/>
    <col min="4612" max="4612" width="11.5" style="115" customWidth="1"/>
    <col min="4613" max="4864" width="9" style="115"/>
    <col min="4865" max="4865" width="16.5" style="115" customWidth="1"/>
    <col min="4866" max="4867" width="27.59765625" style="115" customWidth="1"/>
    <col min="4868" max="4868" width="11.5" style="115" customWidth="1"/>
    <col min="4869" max="5120" width="9" style="115"/>
    <col min="5121" max="5121" width="16.5" style="115" customWidth="1"/>
    <col min="5122" max="5123" width="27.59765625" style="115" customWidth="1"/>
    <col min="5124" max="5124" width="11.5" style="115" customWidth="1"/>
    <col min="5125" max="5376" width="9" style="115"/>
    <col min="5377" max="5377" width="16.5" style="115" customWidth="1"/>
    <col min="5378" max="5379" width="27.59765625" style="115" customWidth="1"/>
    <col min="5380" max="5380" width="11.5" style="115" customWidth="1"/>
    <col min="5381" max="5632" width="9" style="115"/>
    <col min="5633" max="5633" width="16.5" style="115" customWidth="1"/>
    <col min="5634" max="5635" width="27.59765625" style="115" customWidth="1"/>
    <col min="5636" max="5636" width="11.5" style="115" customWidth="1"/>
    <col min="5637" max="5888" width="9" style="115"/>
    <col min="5889" max="5889" width="16.5" style="115" customWidth="1"/>
    <col min="5890" max="5891" width="27.59765625" style="115" customWidth="1"/>
    <col min="5892" max="5892" width="11.5" style="115" customWidth="1"/>
    <col min="5893" max="6144" width="9" style="115"/>
    <col min="6145" max="6145" width="16.5" style="115" customWidth="1"/>
    <col min="6146" max="6147" width="27.59765625" style="115" customWidth="1"/>
    <col min="6148" max="6148" width="11.5" style="115" customWidth="1"/>
    <col min="6149" max="6400" width="9" style="115"/>
    <col min="6401" max="6401" width="16.5" style="115" customWidth="1"/>
    <col min="6402" max="6403" width="27.59765625" style="115" customWidth="1"/>
    <col min="6404" max="6404" width="11.5" style="115" customWidth="1"/>
    <col min="6405" max="6656" width="9" style="115"/>
    <col min="6657" max="6657" width="16.5" style="115" customWidth="1"/>
    <col min="6658" max="6659" width="27.59765625" style="115" customWidth="1"/>
    <col min="6660" max="6660" width="11.5" style="115" customWidth="1"/>
    <col min="6661" max="6912" width="9" style="115"/>
    <col min="6913" max="6913" width="16.5" style="115" customWidth="1"/>
    <col min="6914" max="6915" width="27.59765625" style="115" customWidth="1"/>
    <col min="6916" max="6916" width="11.5" style="115" customWidth="1"/>
    <col min="6917" max="7168" width="9" style="115"/>
    <col min="7169" max="7169" width="16.5" style="115" customWidth="1"/>
    <col min="7170" max="7171" width="27.59765625" style="115" customWidth="1"/>
    <col min="7172" max="7172" width="11.5" style="115" customWidth="1"/>
    <col min="7173" max="7424" width="9" style="115"/>
    <col min="7425" max="7425" width="16.5" style="115" customWidth="1"/>
    <col min="7426" max="7427" width="27.59765625" style="115" customWidth="1"/>
    <col min="7428" max="7428" width="11.5" style="115" customWidth="1"/>
    <col min="7429" max="7680" width="9" style="115"/>
    <col min="7681" max="7681" width="16.5" style="115" customWidth="1"/>
    <col min="7682" max="7683" width="27.59765625" style="115" customWidth="1"/>
    <col min="7684" max="7684" width="11.5" style="115" customWidth="1"/>
    <col min="7685" max="7936" width="9" style="115"/>
    <col min="7937" max="7937" width="16.5" style="115" customWidth="1"/>
    <col min="7938" max="7939" width="27.59765625" style="115" customWidth="1"/>
    <col min="7940" max="7940" width="11.5" style="115" customWidth="1"/>
    <col min="7941" max="8192" width="9" style="115"/>
    <col min="8193" max="8193" width="16.5" style="115" customWidth="1"/>
    <col min="8194" max="8195" width="27.59765625" style="115" customWidth="1"/>
    <col min="8196" max="8196" width="11.5" style="115" customWidth="1"/>
    <col min="8197" max="8448" width="9" style="115"/>
    <col min="8449" max="8449" width="16.5" style="115" customWidth="1"/>
    <col min="8450" max="8451" width="27.59765625" style="115" customWidth="1"/>
    <col min="8452" max="8452" width="11.5" style="115" customWidth="1"/>
    <col min="8453" max="8704" width="9" style="115"/>
    <col min="8705" max="8705" width="16.5" style="115" customWidth="1"/>
    <col min="8706" max="8707" width="27.59765625" style="115" customWidth="1"/>
    <col min="8708" max="8708" width="11.5" style="115" customWidth="1"/>
    <col min="8709" max="8960" width="9" style="115"/>
    <col min="8961" max="8961" width="16.5" style="115" customWidth="1"/>
    <col min="8962" max="8963" width="27.59765625" style="115" customWidth="1"/>
    <col min="8964" max="8964" width="11.5" style="115" customWidth="1"/>
    <col min="8965" max="9216" width="9" style="115"/>
    <col min="9217" max="9217" width="16.5" style="115" customWidth="1"/>
    <col min="9218" max="9219" width="27.59765625" style="115" customWidth="1"/>
    <col min="9220" max="9220" width="11.5" style="115" customWidth="1"/>
    <col min="9221" max="9472" width="9" style="115"/>
    <col min="9473" max="9473" width="16.5" style="115" customWidth="1"/>
    <col min="9474" max="9475" width="27.59765625" style="115" customWidth="1"/>
    <col min="9476" max="9476" width="11.5" style="115" customWidth="1"/>
    <col min="9477" max="9728" width="9" style="115"/>
    <col min="9729" max="9729" width="16.5" style="115" customWidth="1"/>
    <col min="9730" max="9731" width="27.59765625" style="115" customWidth="1"/>
    <col min="9732" max="9732" width="11.5" style="115" customWidth="1"/>
    <col min="9733" max="9984" width="9" style="115"/>
    <col min="9985" max="9985" width="16.5" style="115" customWidth="1"/>
    <col min="9986" max="9987" width="27.59765625" style="115" customWidth="1"/>
    <col min="9988" max="9988" width="11.5" style="115" customWidth="1"/>
    <col min="9989" max="10240" width="9" style="115"/>
    <col min="10241" max="10241" width="16.5" style="115" customWidth="1"/>
    <col min="10242" max="10243" width="27.59765625" style="115" customWidth="1"/>
    <col min="10244" max="10244" width="11.5" style="115" customWidth="1"/>
    <col min="10245" max="10496" width="9" style="115"/>
    <col min="10497" max="10497" width="16.5" style="115" customWidth="1"/>
    <col min="10498" max="10499" width="27.59765625" style="115" customWidth="1"/>
    <col min="10500" max="10500" width="11.5" style="115" customWidth="1"/>
    <col min="10501" max="10752" width="9" style="115"/>
    <col min="10753" max="10753" width="16.5" style="115" customWidth="1"/>
    <col min="10754" max="10755" width="27.59765625" style="115" customWidth="1"/>
    <col min="10756" max="10756" width="11.5" style="115" customWidth="1"/>
    <col min="10757" max="11008" width="9" style="115"/>
    <col min="11009" max="11009" width="16.5" style="115" customWidth="1"/>
    <col min="11010" max="11011" width="27.59765625" style="115" customWidth="1"/>
    <col min="11012" max="11012" width="11.5" style="115" customWidth="1"/>
    <col min="11013" max="11264" width="9" style="115"/>
    <col min="11265" max="11265" width="16.5" style="115" customWidth="1"/>
    <col min="11266" max="11267" width="27.59765625" style="115" customWidth="1"/>
    <col min="11268" max="11268" width="11.5" style="115" customWidth="1"/>
    <col min="11269" max="11520" width="9" style="115"/>
    <col min="11521" max="11521" width="16.5" style="115" customWidth="1"/>
    <col min="11522" max="11523" width="27.59765625" style="115" customWidth="1"/>
    <col min="11524" max="11524" width="11.5" style="115" customWidth="1"/>
    <col min="11525" max="11776" width="9" style="115"/>
    <col min="11777" max="11777" width="16.5" style="115" customWidth="1"/>
    <col min="11778" max="11779" width="27.59765625" style="115" customWidth="1"/>
    <col min="11780" max="11780" width="11.5" style="115" customWidth="1"/>
    <col min="11781" max="12032" width="9" style="115"/>
    <col min="12033" max="12033" width="16.5" style="115" customWidth="1"/>
    <col min="12034" max="12035" width="27.59765625" style="115" customWidth="1"/>
    <col min="12036" max="12036" width="11.5" style="115" customWidth="1"/>
    <col min="12037" max="12288" width="9" style="115"/>
    <col min="12289" max="12289" width="16.5" style="115" customWidth="1"/>
    <col min="12290" max="12291" width="27.59765625" style="115" customWidth="1"/>
    <col min="12292" max="12292" width="11.5" style="115" customWidth="1"/>
    <col min="12293" max="12544" width="9" style="115"/>
    <col min="12545" max="12545" width="16.5" style="115" customWidth="1"/>
    <col min="12546" max="12547" width="27.59765625" style="115" customWidth="1"/>
    <col min="12548" max="12548" width="11.5" style="115" customWidth="1"/>
    <col min="12549" max="12800" width="9" style="115"/>
    <col min="12801" max="12801" width="16.5" style="115" customWidth="1"/>
    <col min="12802" max="12803" width="27.59765625" style="115" customWidth="1"/>
    <col min="12804" max="12804" width="11.5" style="115" customWidth="1"/>
    <col min="12805" max="13056" width="9" style="115"/>
    <col min="13057" max="13057" width="16.5" style="115" customWidth="1"/>
    <col min="13058" max="13059" width="27.59765625" style="115" customWidth="1"/>
    <col min="13060" max="13060" width="11.5" style="115" customWidth="1"/>
    <col min="13061" max="13312" width="9" style="115"/>
    <col min="13313" max="13313" width="16.5" style="115" customWidth="1"/>
    <col min="13314" max="13315" width="27.59765625" style="115" customWidth="1"/>
    <col min="13316" max="13316" width="11.5" style="115" customWidth="1"/>
    <col min="13317" max="13568" width="9" style="115"/>
    <col min="13569" max="13569" width="16.5" style="115" customWidth="1"/>
    <col min="13570" max="13571" width="27.59765625" style="115" customWidth="1"/>
    <col min="13572" max="13572" width="11.5" style="115" customWidth="1"/>
    <col min="13573" max="13824" width="9" style="115"/>
    <col min="13825" max="13825" width="16.5" style="115" customWidth="1"/>
    <col min="13826" max="13827" width="27.59765625" style="115" customWidth="1"/>
    <col min="13828" max="13828" width="11.5" style="115" customWidth="1"/>
    <col min="13829" max="14080" width="9" style="115"/>
    <col min="14081" max="14081" width="16.5" style="115" customWidth="1"/>
    <col min="14082" max="14083" width="27.59765625" style="115" customWidth="1"/>
    <col min="14084" max="14084" width="11.5" style="115" customWidth="1"/>
    <col min="14085" max="14336" width="9" style="115"/>
    <col min="14337" max="14337" width="16.5" style="115" customWidth="1"/>
    <col min="14338" max="14339" width="27.59765625" style="115" customWidth="1"/>
    <col min="14340" max="14340" width="11.5" style="115" customWidth="1"/>
    <col min="14341" max="14592" width="9" style="115"/>
    <col min="14593" max="14593" width="16.5" style="115" customWidth="1"/>
    <col min="14594" max="14595" width="27.59765625" style="115" customWidth="1"/>
    <col min="14596" max="14596" width="11.5" style="115" customWidth="1"/>
    <col min="14597" max="14848" width="9" style="115"/>
    <col min="14849" max="14849" width="16.5" style="115" customWidth="1"/>
    <col min="14850" max="14851" width="27.59765625" style="115" customWidth="1"/>
    <col min="14852" max="14852" width="11.5" style="115" customWidth="1"/>
    <col min="14853" max="15104" width="9" style="115"/>
    <col min="15105" max="15105" width="16.5" style="115" customWidth="1"/>
    <col min="15106" max="15107" width="27.59765625" style="115" customWidth="1"/>
    <col min="15108" max="15108" width="11.5" style="115" customWidth="1"/>
    <col min="15109" max="15360" width="9" style="115"/>
    <col min="15361" max="15361" width="16.5" style="115" customWidth="1"/>
    <col min="15362" max="15363" width="27.59765625" style="115" customWidth="1"/>
    <col min="15364" max="15364" width="11.5" style="115" customWidth="1"/>
    <col min="15365" max="15616" width="9" style="115"/>
    <col min="15617" max="15617" width="16.5" style="115" customWidth="1"/>
    <col min="15618" max="15619" width="27.59765625" style="115" customWidth="1"/>
    <col min="15620" max="15620" width="11.5" style="115" customWidth="1"/>
    <col min="15621" max="15872" width="9" style="115"/>
    <col min="15873" max="15873" width="16.5" style="115" customWidth="1"/>
    <col min="15874" max="15875" width="27.59765625" style="115" customWidth="1"/>
    <col min="15876" max="15876" width="11.5" style="115" customWidth="1"/>
    <col min="15877" max="16128" width="9" style="115"/>
    <col min="16129" max="16129" width="16.5" style="115" customWidth="1"/>
    <col min="16130" max="16131" width="27.59765625" style="115" customWidth="1"/>
    <col min="16132" max="16132" width="11.5" style="115" customWidth="1"/>
    <col min="16133" max="16384" width="9" style="115"/>
  </cols>
  <sheetData>
    <row r="1" spans="1:4" ht="17.25" customHeight="1">
      <c r="A1" s="115" t="s">
        <v>160</v>
      </c>
    </row>
    <row r="2" spans="1:4" ht="17.25" customHeight="1">
      <c r="D2" s="121" t="s">
        <v>114</v>
      </c>
    </row>
    <row r="3" spans="1:4" ht="24.75" customHeight="1">
      <c r="A3" s="300" t="s">
        <v>161</v>
      </c>
    </row>
    <row r="4" spans="1:4" ht="11.25" customHeight="1"/>
    <row r="5" spans="1:4" s="302" customFormat="1" ht="21" customHeight="1" thickBot="1">
      <c r="A5" s="301" t="s">
        <v>162</v>
      </c>
      <c r="B5" s="301" t="s">
        <v>163</v>
      </c>
      <c r="C5" s="301" t="s">
        <v>164</v>
      </c>
      <c r="D5" s="301" t="s">
        <v>18</v>
      </c>
    </row>
    <row r="6" spans="1:4" ht="17.25" customHeight="1" thickTop="1">
      <c r="A6" s="303"/>
      <c r="B6" s="303"/>
      <c r="C6" s="303"/>
      <c r="D6" s="303"/>
    </row>
    <row r="7" spans="1:4" ht="17.25" customHeight="1">
      <c r="A7" s="303"/>
      <c r="B7" s="303"/>
      <c r="C7" s="303"/>
      <c r="D7" s="303"/>
    </row>
    <row r="8" spans="1:4" ht="17.25" customHeight="1">
      <c r="A8" s="303"/>
      <c r="B8" s="303"/>
      <c r="C8" s="303"/>
      <c r="D8" s="303"/>
    </row>
    <row r="9" spans="1:4" ht="17.25" customHeight="1">
      <c r="A9" s="303"/>
      <c r="B9" s="303"/>
      <c r="C9" s="303"/>
      <c r="D9" s="303"/>
    </row>
    <row r="10" spans="1:4" ht="17.25" customHeight="1">
      <c r="A10" s="303"/>
      <c r="B10" s="303"/>
      <c r="C10" s="303"/>
      <c r="D10" s="303"/>
    </row>
    <row r="11" spans="1:4" ht="17.25" customHeight="1">
      <c r="A11" s="303"/>
      <c r="B11" s="303"/>
      <c r="C11" s="303"/>
      <c r="D11" s="303"/>
    </row>
    <row r="12" spans="1:4" ht="17.25" customHeight="1">
      <c r="A12" s="303"/>
      <c r="B12" s="303"/>
      <c r="C12" s="303"/>
      <c r="D12" s="303"/>
    </row>
    <row r="13" spans="1:4" ht="17.25" customHeight="1">
      <c r="A13" s="303"/>
      <c r="B13" s="303"/>
      <c r="C13" s="303"/>
      <c r="D13" s="303"/>
    </row>
    <row r="14" spans="1:4" ht="17.25" customHeight="1">
      <c r="A14" s="303"/>
      <c r="B14" s="303"/>
      <c r="C14" s="303"/>
      <c r="D14" s="303"/>
    </row>
    <row r="15" spans="1:4" ht="17.25" customHeight="1">
      <c r="A15" s="303"/>
      <c r="B15" s="303"/>
      <c r="C15" s="303"/>
      <c r="D15" s="303"/>
    </row>
    <row r="16" spans="1:4" ht="17.25" customHeight="1">
      <c r="A16" s="303"/>
      <c r="B16" s="303"/>
      <c r="C16" s="303"/>
      <c r="D16" s="303"/>
    </row>
    <row r="17" spans="1:4" ht="17.25" customHeight="1">
      <c r="A17" s="303"/>
      <c r="B17" s="303"/>
      <c r="C17" s="303"/>
      <c r="D17" s="303"/>
    </row>
    <row r="18" spans="1:4" ht="17.25" customHeight="1">
      <c r="A18" s="303"/>
      <c r="B18" s="303"/>
      <c r="C18" s="303"/>
      <c r="D18" s="303"/>
    </row>
    <row r="19" spans="1:4" ht="17.25" customHeight="1">
      <c r="A19" s="303"/>
      <c r="B19" s="303"/>
      <c r="C19" s="303"/>
      <c r="D19" s="303"/>
    </row>
    <row r="20" spans="1:4" ht="17.25" customHeight="1">
      <c r="A20" s="303"/>
      <c r="B20" s="303"/>
      <c r="C20" s="303"/>
      <c r="D20" s="303"/>
    </row>
    <row r="21" spans="1:4" ht="17.25" customHeight="1">
      <c r="A21" s="303"/>
      <c r="B21" s="303"/>
      <c r="C21" s="303"/>
      <c r="D21" s="303"/>
    </row>
    <row r="22" spans="1:4" ht="17.25" customHeight="1">
      <c r="A22" s="303"/>
      <c r="B22" s="303"/>
      <c r="C22" s="303"/>
      <c r="D22" s="303"/>
    </row>
    <row r="23" spans="1:4" ht="17.25" customHeight="1">
      <c r="A23" s="303"/>
      <c r="B23" s="303"/>
      <c r="C23" s="303"/>
      <c r="D23" s="303"/>
    </row>
    <row r="24" spans="1:4" ht="17.25" customHeight="1">
      <c r="A24" s="303"/>
      <c r="B24" s="303"/>
      <c r="C24" s="303"/>
      <c r="D24" s="303"/>
    </row>
    <row r="25" spans="1:4" ht="17.25" customHeight="1">
      <c r="A25" s="303"/>
      <c r="B25" s="303"/>
      <c r="C25" s="303"/>
      <c r="D25" s="303"/>
    </row>
    <row r="26" spans="1:4" ht="17.25" customHeight="1">
      <c r="A26" s="303"/>
      <c r="B26" s="303"/>
      <c r="C26" s="303"/>
      <c r="D26" s="303"/>
    </row>
    <row r="27" spans="1:4" ht="17.25" customHeight="1">
      <c r="A27" s="303"/>
      <c r="B27" s="303"/>
      <c r="C27" s="303"/>
      <c r="D27" s="303"/>
    </row>
    <row r="28" spans="1:4" ht="17.25" customHeight="1">
      <c r="A28" s="303"/>
      <c r="B28" s="303"/>
      <c r="C28" s="303"/>
      <c r="D28" s="303"/>
    </row>
    <row r="29" spans="1:4" ht="17.25" customHeight="1">
      <c r="A29" s="303"/>
      <c r="B29" s="303"/>
      <c r="C29" s="303"/>
      <c r="D29" s="303"/>
    </row>
    <row r="30" spans="1:4" ht="17.25" customHeight="1">
      <c r="A30" s="303"/>
      <c r="B30" s="303"/>
      <c r="C30" s="303"/>
      <c r="D30" s="303"/>
    </row>
    <row r="31" spans="1:4" ht="17.25" customHeight="1">
      <c r="A31" s="303"/>
      <c r="B31" s="303"/>
      <c r="C31" s="303"/>
      <c r="D31" s="303"/>
    </row>
    <row r="32" spans="1:4" ht="17.25" customHeight="1">
      <c r="A32" s="303"/>
      <c r="B32" s="303"/>
      <c r="C32" s="303"/>
      <c r="D32" s="303"/>
    </row>
    <row r="33" spans="1:4" ht="17.25" customHeight="1">
      <c r="A33" s="303"/>
      <c r="B33" s="303"/>
      <c r="C33" s="303"/>
      <c r="D33" s="303"/>
    </row>
    <row r="34" spans="1:4" ht="17.25" customHeight="1">
      <c r="A34" s="303"/>
      <c r="B34" s="303"/>
      <c r="C34" s="303"/>
      <c r="D34" s="303"/>
    </row>
    <row r="35" spans="1:4" ht="17.25" customHeight="1">
      <c r="A35" s="303"/>
      <c r="B35" s="303"/>
      <c r="C35" s="303"/>
      <c r="D35" s="303"/>
    </row>
    <row r="36" spans="1:4" ht="17.25" customHeight="1">
      <c r="A36" s="211"/>
      <c r="B36" s="211"/>
      <c r="C36" s="211"/>
      <c r="D36" s="211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435f4589ec11d9dca9e07ab5d6a9da34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533e8f78bb66428125cbe98c8735d5fc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9D91F5-E587-4340-813F-43D5F9EC870F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customXml/itemProps2.xml><?xml version="1.0" encoding="utf-8"?>
<ds:datastoreItem xmlns:ds="http://schemas.openxmlformats.org/officeDocument/2006/customXml" ds:itemID="{375BE245-3938-4736-8BBB-6CEBC8AE76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F87BB3-645D-4087-BEEC-C7B5DD0E3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ac81bacf-79d0-4aea-837c-130769574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6</vt:i4>
      </vt:variant>
    </vt:vector>
  </HeadingPairs>
  <TitlesOfParts>
    <vt:vector size="27" baseType="lpstr">
      <vt:lpstr>갑지</vt:lpstr>
      <vt:lpstr>원가항목별(집계)</vt:lpstr>
      <vt:lpstr>단위공사별(집계)</vt:lpstr>
      <vt:lpstr>전기</vt:lpstr>
      <vt:lpstr>단위장비3</vt:lpstr>
      <vt:lpstr>단위장비4</vt:lpstr>
      <vt:lpstr>단위장비5</vt:lpstr>
      <vt:lpstr>단위장비6</vt:lpstr>
      <vt:lpstr>단위장비7</vt:lpstr>
      <vt:lpstr>단위장비10</vt:lpstr>
      <vt:lpstr>단위장비9</vt:lpstr>
      <vt:lpstr>단위장비11</vt:lpstr>
      <vt:lpstr>단위장비16</vt:lpstr>
      <vt:lpstr>단위장비1</vt:lpstr>
      <vt:lpstr>단위장비2</vt:lpstr>
      <vt:lpstr>단위장비8</vt:lpstr>
      <vt:lpstr>단위장비12</vt:lpstr>
      <vt:lpstr>단위장비13</vt:lpstr>
      <vt:lpstr>단위장비14</vt:lpstr>
      <vt:lpstr>단위장비15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30833@device.wia.co.kr</dc:creator>
  <cp:lastModifiedBy>장민욱 책임매니저 설비구매팀</cp:lastModifiedBy>
  <cp:lastPrinted>2025-07-25T05:45:59Z</cp:lastPrinted>
  <dcterms:created xsi:type="dcterms:W3CDTF">2025-04-06T23:18:38Z</dcterms:created>
  <dcterms:modified xsi:type="dcterms:W3CDTF">2025-09-15T04:49:26Z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0cd02f-714d-4653-8382-0ecf5aacd0fa_Enabled">
    <vt:lpwstr>true</vt:lpwstr>
  </property>
  <property fmtid="{D5CDD505-2E9C-101B-9397-08002B2CF9AE}" pid="3" name="MSIP_Label_230cd02f-714d-4653-8382-0ecf5aacd0fa_SetDate">
    <vt:lpwstr>2025-04-14T23:32:41Z</vt:lpwstr>
  </property>
  <property fmtid="{D5CDD505-2E9C-101B-9397-08002B2CF9AE}" pid="4" name="MSIP_Label_230cd02f-714d-4653-8382-0ecf5aacd0fa_Method">
    <vt:lpwstr>Privileged</vt:lpwstr>
  </property>
  <property fmtid="{D5CDD505-2E9C-101B-9397-08002B2CF9AE}" pid="5" name="MSIP_Label_230cd02f-714d-4653-8382-0ecf5aacd0fa_Name">
    <vt:lpwstr>외부 전송용(No Protection)</vt:lpwstr>
  </property>
  <property fmtid="{D5CDD505-2E9C-101B-9397-08002B2CF9AE}" pid="6" name="MSIP_Label_230cd02f-714d-4653-8382-0ecf5aacd0fa_SiteId">
    <vt:lpwstr>9682717c-e5aa-4e3f-ae88-3507a84b4611</vt:lpwstr>
  </property>
  <property fmtid="{D5CDD505-2E9C-101B-9397-08002B2CF9AE}" pid="7" name="MSIP_Label_230cd02f-714d-4653-8382-0ecf5aacd0fa_ActionId">
    <vt:lpwstr>7bc33b23-fab9-4a7e-9157-cbbf122e10ee</vt:lpwstr>
  </property>
  <property fmtid="{D5CDD505-2E9C-101B-9397-08002B2CF9AE}" pid="8" name="MSIP_Label_230cd02f-714d-4653-8382-0ecf5aacd0fa_ContentBits">
    <vt:lpwstr>6</vt:lpwstr>
  </property>
  <property fmtid="{D5CDD505-2E9C-101B-9397-08002B2CF9AE}" pid="9" name="ContentTypeId">
    <vt:lpwstr>0x01010084EEACC2FBBAA64B8A9BB96350026B5F</vt:lpwstr>
  </property>
  <property fmtid="{D5CDD505-2E9C-101B-9397-08002B2CF9AE}" pid="10" name="MediaServiceImageTags">
    <vt:lpwstr/>
  </property>
</Properties>
</file>